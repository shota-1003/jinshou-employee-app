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ffd62a17165ebc/Desktop/"/>
    </mc:Choice>
  </mc:AlternateContent>
  <xr:revisionPtr revIDLastSave="0" documentId="8_{87EE196D-CA30-4FE8-ABEE-1CE5EB18EFD8}" xr6:coauthVersionLast="47" xr6:coauthVersionMax="47" xr10:uidLastSave="{00000000-0000-0000-0000-000000000000}"/>
  <bookViews>
    <workbookView xWindow="57480" yWindow="-120" windowWidth="21840" windowHeight="37920" xr2:uid="{00000000-000D-0000-FFFF-FFFF00000000}"/>
  </bookViews>
  <sheets>
    <sheet name="見積書" sheetId="4" r:id="rId1"/>
    <sheet name="工事内訳書" sheetId="2" r:id="rId2"/>
    <sheet name="内訳明細書" sheetId="3" r:id="rId3"/>
  </sheets>
  <definedNames>
    <definedName name="_xlnm.Print_Area" localSheetId="0">見積書!$A$1:$BA$35</definedName>
    <definedName name="_xlnm.Print_Area" localSheetId="1">工事内訳書!$A$1:$BC$26</definedName>
    <definedName name="_xlnm.Print_Area" localSheetId="2">内訳明細書!$A$1:$O$22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3" l="1"/>
  <c r="V9" i="3" l="1"/>
  <c r="AB9" i="3"/>
  <c r="V14" i="3"/>
  <c r="AB14" i="3" s="1"/>
  <c r="M14" i="3"/>
  <c r="L14" i="3"/>
  <c r="J14" i="3"/>
  <c r="V10" i="3"/>
  <c r="AB10" i="3" s="1"/>
  <c r="V11" i="3"/>
  <c r="AB11" i="3" s="1"/>
  <c r="V12" i="3"/>
  <c r="AB12" i="3" s="1"/>
  <c r="V13" i="3"/>
  <c r="AB13" i="3" s="1"/>
  <c r="V15" i="3"/>
  <c r="AB15" i="3" s="1"/>
  <c r="V16" i="3"/>
  <c r="AB16" i="3" s="1"/>
  <c r="N14" i="3" l="1"/>
  <c r="AB17" i="3"/>
  <c r="AT11" i="2"/>
  <c r="J11" i="3" l="1"/>
  <c r="AQ1" i="4"/>
  <c r="M13" i="3" l="1"/>
  <c r="L13" i="3"/>
  <c r="J13" i="3"/>
  <c r="M12" i="3"/>
  <c r="M11" i="3"/>
  <c r="L11" i="3"/>
  <c r="J10" i="3"/>
  <c r="J9" i="3"/>
  <c r="N13" i="3" l="1"/>
  <c r="N11" i="3"/>
  <c r="L9" i="3"/>
  <c r="N9" i="3" s="1"/>
  <c r="L10" i="3" l="1"/>
  <c r="N10" i="3" s="1"/>
  <c r="M9" i="3"/>
  <c r="J8" i="3"/>
  <c r="B4" i="3"/>
  <c r="K1" i="3"/>
  <c r="B4" i="2"/>
  <c r="M10" i="3" l="1"/>
  <c r="M8" i="3"/>
  <c r="L8" i="3"/>
  <c r="N8" i="3" l="1"/>
  <c r="AR1" i="2" l="1"/>
  <c r="J12" i="3"/>
  <c r="I15" i="3" s="1"/>
  <c r="M16" i="3"/>
  <c r="AT10" i="2" s="1"/>
  <c r="L12" i="3"/>
  <c r="N12" i="3" l="1"/>
  <c r="K15" i="3"/>
  <c r="M17" i="3" s="1"/>
  <c r="M15" i="3" l="1"/>
  <c r="M19" i="3" s="1"/>
  <c r="AT8" i="2" l="1"/>
  <c r="M18" i="3"/>
  <c r="H21" i="3" s="1"/>
  <c r="AT9" i="2" s="1"/>
  <c r="AT20" i="2" l="1"/>
  <c r="AL19" i="4" s="1"/>
  <c r="U16" i="4" s="1"/>
  <c r="C22" i="3"/>
  <c r="R22" i="3" s="1"/>
  <c r="AM21" i="4" l="1"/>
</calcChain>
</file>

<file path=xl/sharedStrings.xml><?xml version="1.0" encoding="utf-8"?>
<sst xmlns="http://schemas.openxmlformats.org/spreadsheetml/2006/main" count="128" uniqueCount="72">
  <si>
    <t>単位</t>
    <rPh sb="0" eb="2">
      <t>タンイ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</si>
  <si>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</si>
  <si>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</si>
  <si>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合計</t>
    <rPh sb="0" eb="2">
      <t>ゴウケイ</t>
    </rPh>
    <phoneticPr fontId="1"/>
  </si>
  <si>
    <t>御見積書</t>
    <rPh sb="0" eb="1">
      <t>オ</t>
    </rPh>
    <rPh sb="1" eb="4">
      <t>ミツモリショ</t>
    </rPh>
    <phoneticPr fontId="1"/>
  </si>
  <si>
    <t>工事名</t>
    <rPh sb="0" eb="2">
      <t>コウジ</t>
    </rPh>
    <rPh sb="2" eb="3">
      <t>メイ</t>
    </rPh>
    <phoneticPr fontId="1"/>
  </si>
  <si>
    <t>工事場所</t>
    <rPh sb="0" eb="2">
      <t>コウジ</t>
    </rPh>
    <rPh sb="2" eb="4">
      <t>バショ</t>
    </rPh>
    <phoneticPr fontId="1"/>
  </si>
  <si>
    <t>見積有効期限</t>
    <rPh sb="0" eb="2">
      <t>ミツ</t>
    </rPh>
    <rPh sb="2" eb="4">
      <t>ユウコウ</t>
    </rPh>
    <rPh sb="4" eb="6">
      <t>キゲン</t>
    </rPh>
    <phoneticPr fontId="1"/>
  </si>
  <si>
    <t>工期予定</t>
    <rPh sb="0" eb="2">
      <t>コウキ</t>
    </rPh>
    <rPh sb="2" eb="4">
      <t>ヨテイ</t>
    </rPh>
    <phoneticPr fontId="1"/>
  </si>
  <si>
    <t>ご不明な点がございましたらお気軽にお問合せください。　</t>
    <rPh sb="1" eb="3">
      <t>フメイ</t>
    </rPh>
    <rPh sb="4" eb="5">
      <t>テン</t>
    </rPh>
    <rPh sb="14" eb="16">
      <t>キガル</t>
    </rPh>
    <rPh sb="18" eb="20">
      <t>トイアワ</t>
    </rPh>
    <phoneticPr fontId="1"/>
  </si>
  <si>
    <t>名称</t>
    <rPh sb="0" eb="2">
      <t>メイショウ</t>
    </rPh>
    <phoneticPr fontId="1"/>
  </si>
  <si>
    <t>仕様</t>
    <rPh sb="0" eb="2">
      <t>シヨウ</t>
    </rPh>
    <phoneticPr fontId="1"/>
  </si>
  <si>
    <t>数量</t>
    <rPh sb="0" eb="2">
      <t>スウリョウ</t>
    </rPh>
    <phoneticPr fontId="1"/>
  </si>
  <si>
    <t>NO</t>
    <phoneticPr fontId="1"/>
  </si>
  <si>
    <t>この度はご照会いただき誠にありがとうございます。下記の通りお見積り申し上げます。</t>
    <phoneticPr fontId="1"/>
  </si>
  <si>
    <t>工　事　内　訳　書</t>
    <rPh sb="0" eb="1">
      <t>コウ</t>
    </rPh>
    <rPh sb="2" eb="3">
      <t>コト</t>
    </rPh>
    <rPh sb="4" eb="5">
      <t>ナイ</t>
    </rPh>
    <rPh sb="6" eb="8">
      <t>ヤクショ</t>
    </rPh>
    <rPh sb="8" eb="9">
      <t>ショ</t>
    </rPh>
    <phoneticPr fontId="1"/>
  </si>
  <si>
    <t>御見積金額</t>
    <phoneticPr fontId="1"/>
  </si>
  <si>
    <t>円也</t>
    <rPh sb="0" eb="1">
      <t>エン</t>
    </rPh>
    <rPh sb="1" eb="2">
      <t>ナリ</t>
    </rPh>
    <phoneticPr fontId="1"/>
  </si>
  <si>
    <t>No.1</t>
    <phoneticPr fontId="1"/>
  </si>
  <si>
    <t>〒770-0944</t>
    <phoneticPr fontId="1"/>
  </si>
  <si>
    <t>徳島市南昭和町1丁目23　三谷第一ビル6Ｆ3</t>
    <rPh sb="0" eb="3">
      <t>トクシマシ</t>
    </rPh>
    <rPh sb="3" eb="4">
      <t>ミナミ</t>
    </rPh>
    <rPh sb="4" eb="7">
      <t>ショウワチョウ</t>
    </rPh>
    <rPh sb="8" eb="10">
      <t>チョウメ</t>
    </rPh>
    <rPh sb="13" eb="17">
      <t>ミタニダイイチ</t>
    </rPh>
    <phoneticPr fontId="1"/>
  </si>
  <si>
    <t>TEL　088-676-2192</t>
    <phoneticPr fontId="1"/>
  </si>
  <si>
    <t>FAX　088-677-3042</t>
    <phoneticPr fontId="1"/>
  </si>
  <si>
    <t>No.2</t>
    <phoneticPr fontId="1"/>
  </si>
  <si>
    <t>NO</t>
    <phoneticPr fontId="1"/>
  </si>
  <si>
    <t>何卒御下命の栄を賜りますようお願い申し上げます。</t>
    <rPh sb="0" eb="2">
      <t>ナニトゾ</t>
    </rPh>
    <rPh sb="2" eb="5">
      <t>ゴカメイ</t>
    </rPh>
    <rPh sb="6" eb="7">
      <t>エイ</t>
    </rPh>
    <rPh sb="8" eb="9">
      <t>タマワ</t>
    </rPh>
    <rPh sb="15" eb="16">
      <t>ネガ</t>
    </rPh>
    <rPh sb="17" eb="18">
      <t>モウ</t>
    </rPh>
    <rPh sb="19" eb="20">
      <t>ア</t>
    </rPh>
    <phoneticPr fontId="1"/>
  </si>
  <si>
    <t>　株式会社　迅翔興業</t>
    <rPh sb="1" eb="5">
      <t>カブシキカイシャ</t>
    </rPh>
    <rPh sb="6" eb="10">
      <t>ジンショウコウギョウ</t>
    </rPh>
    <phoneticPr fontId="1"/>
  </si>
  <si>
    <t>法定福利費</t>
    <rPh sb="0" eb="5">
      <t>ホウテイフクリヒ</t>
    </rPh>
    <phoneticPr fontId="1"/>
  </si>
  <si>
    <t>諸経費</t>
    <rPh sb="0" eb="3">
      <t>ショケイヒ</t>
    </rPh>
    <phoneticPr fontId="1"/>
  </si>
  <si>
    <t>調整費</t>
    <rPh sb="0" eb="3">
      <t>チョウセイヒ</t>
    </rPh>
    <phoneticPr fontId="1"/>
  </si>
  <si>
    <t>単価</t>
    <rPh sb="0" eb="2">
      <t>タンカ</t>
    </rPh>
    <phoneticPr fontId="1"/>
  </si>
  <si>
    <t>合計</t>
    <rPh sb="0" eb="2">
      <t>ゴウケイ</t>
    </rPh>
    <phoneticPr fontId="1"/>
  </si>
  <si>
    <t>総計</t>
    <rPh sb="0" eb="2">
      <t>ソウケイ</t>
    </rPh>
    <phoneticPr fontId="1"/>
  </si>
  <si>
    <t>総合計</t>
    <rPh sb="0" eb="1">
      <t>ソウ</t>
    </rPh>
    <rPh sb="1" eb="3">
      <t>ゴウケイ</t>
    </rPh>
    <phoneticPr fontId="1"/>
  </si>
  <si>
    <t>経費合計</t>
    <rPh sb="0" eb="2">
      <t>ケイヒ</t>
    </rPh>
    <rPh sb="2" eb="4">
      <t>ゴウケイ</t>
    </rPh>
    <phoneticPr fontId="1"/>
  </si>
  <si>
    <t>式</t>
    <rPh sb="0" eb="1">
      <t>シキ</t>
    </rPh>
    <phoneticPr fontId="1"/>
  </si>
  <si>
    <t>1カ月</t>
    <rPh sb="2" eb="3">
      <t>ゲツ</t>
    </rPh>
    <phoneticPr fontId="1"/>
  </si>
  <si>
    <t>担当：桑原</t>
    <rPh sb="0" eb="2">
      <t>タントウ</t>
    </rPh>
    <rPh sb="3" eb="5">
      <t>クワハラ</t>
    </rPh>
    <phoneticPr fontId="1"/>
  </si>
  <si>
    <t>小計</t>
    <rPh sb="0" eb="2">
      <t>ショウケイ</t>
    </rPh>
    <phoneticPr fontId="1"/>
  </si>
  <si>
    <t>労務費</t>
    <rPh sb="0" eb="3">
      <t>ロウムヒ</t>
    </rPh>
    <phoneticPr fontId="1"/>
  </si>
  <si>
    <t>円</t>
    <rPh sb="0" eb="1">
      <t>エン</t>
    </rPh>
    <phoneticPr fontId="1"/>
  </si>
  <si>
    <t>　　　　　　　　　　　　　　　　　　　　　　　　　　　　　　　　　　　　　　御見積条件</t>
    <rPh sb="38" eb="41">
      <t>オミツモリ</t>
    </rPh>
    <rPh sb="41" eb="43">
      <t>ジョウケン</t>
    </rPh>
    <phoneticPr fontId="1"/>
  </si>
  <si>
    <t>※見積条件書は必ずご確認ください。</t>
    <rPh sb="1" eb="3">
      <t>ミツモ</t>
    </rPh>
    <rPh sb="3" eb="6">
      <t>ジョウケンショ</t>
    </rPh>
    <rPh sb="7" eb="8">
      <t>カナラ</t>
    </rPh>
    <rPh sb="10" eb="12">
      <t>カクニン</t>
    </rPh>
    <phoneticPr fontId="1"/>
  </si>
  <si>
    <t>材料費</t>
    <rPh sb="0" eb="3">
      <t>ザイリョウヒ</t>
    </rPh>
    <phoneticPr fontId="1"/>
  </si>
  <si>
    <t>運搬費</t>
    <rPh sb="0" eb="3">
      <t>ウンパンヒ</t>
    </rPh>
    <phoneticPr fontId="1"/>
  </si>
  <si>
    <t>足場工</t>
    <rPh sb="0" eb="3">
      <t>アシバコウ</t>
    </rPh>
    <phoneticPr fontId="1"/>
  </si>
  <si>
    <t>・作業時間は昼勤8：00～17：00　夜勤作業無し</t>
    <rPh sb="1" eb="3">
      <t>サギョウ</t>
    </rPh>
    <rPh sb="3" eb="5">
      <t>ジカン</t>
    </rPh>
    <rPh sb="6" eb="8">
      <t>ヒルキン</t>
    </rPh>
    <rPh sb="19" eb="21">
      <t>ヤキン</t>
    </rPh>
    <rPh sb="21" eb="23">
      <t>サギョウ</t>
    </rPh>
    <rPh sb="23" eb="24">
      <t>ナ</t>
    </rPh>
    <phoneticPr fontId="1"/>
  </si>
  <si>
    <t>・見積りにない作業は別途見積り願います。</t>
    <rPh sb="1" eb="3">
      <t>ミツモ</t>
    </rPh>
    <rPh sb="7" eb="9">
      <t>サギョウ</t>
    </rPh>
    <rPh sb="10" eb="12">
      <t>ベット</t>
    </rPh>
    <rPh sb="12" eb="14">
      <t>ミツモ</t>
    </rPh>
    <rPh sb="15" eb="16">
      <t>ネガ</t>
    </rPh>
    <phoneticPr fontId="1"/>
  </si>
  <si>
    <t>・上記以外の事項につきましては、別途両者にて協議お願い致します。</t>
    <rPh sb="1" eb="3">
      <t>ジョウキ</t>
    </rPh>
    <rPh sb="3" eb="5">
      <t>イガイ</t>
    </rPh>
    <rPh sb="6" eb="8">
      <t>ジコウ</t>
    </rPh>
    <rPh sb="16" eb="18">
      <t>ベット</t>
    </rPh>
    <rPh sb="18" eb="20">
      <t>リョウシャ</t>
    </rPh>
    <rPh sb="22" eb="24">
      <t>キョウギ</t>
    </rPh>
    <rPh sb="25" eb="26">
      <t>ネガイ</t>
    </rPh>
    <rPh sb="27" eb="28">
      <t>タ</t>
    </rPh>
    <phoneticPr fontId="1"/>
  </si>
  <si>
    <t>適格請求書登録番号：T3480001010237</t>
    <rPh sb="0" eb="2">
      <t>テキカク</t>
    </rPh>
    <rPh sb="2" eb="4">
      <t>セイキュウ</t>
    </rPh>
    <rPh sb="4" eb="5">
      <t>ショ</t>
    </rPh>
    <rPh sb="5" eb="9">
      <t>トウロクバンゴウ</t>
    </rPh>
    <phoneticPr fontId="1"/>
  </si>
  <si>
    <t>税抜き価格　　</t>
    <rPh sb="0" eb="2">
      <t>ゼイヌ</t>
    </rPh>
    <rPh sb="3" eb="5">
      <t>カカク</t>
    </rPh>
    <phoneticPr fontId="1"/>
  </si>
  <si>
    <t>消費税（税率10％）</t>
    <rPh sb="0" eb="3">
      <t>ショウヒゼイ</t>
    </rPh>
    <rPh sb="4" eb="6">
      <t>ゼイリツ</t>
    </rPh>
    <phoneticPr fontId="1"/>
  </si>
  <si>
    <t>内　訳　明　細　書</t>
    <phoneticPr fontId="1"/>
  </si>
  <si>
    <t>NO.3</t>
    <phoneticPr fontId="1"/>
  </si>
  <si>
    <t>諸経費</t>
    <rPh sb="0" eb="1">
      <t>ショ</t>
    </rPh>
    <rPh sb="1" eb="3">
      <t>ケイヒ</t>
    </rPh>
    <phoneticPr fontId="1"/>
  </si>
  <si>
    <t>消耗品</t>
    <rPh sb="0" eb="3">
      <t>ショウモウヒン</t>
    </rPh>
    <phoneticPr fontId="1"/>
  </si>
  <si>
    <t>設置
期間</t>
    <rPh sb="0" eb="2">
      <t>セッチ</t>
    </rPh>
    <rPh sb="3" eb="5">
      <t>キカン</t>
    </rPh>
    <phoneticPr fontId="1"/>
  </si>
  <si>
    <t>％</t>
    <phoneticPr fontId="1"/>
  </si>
  <si>
    <t>工事金額</t>
    <rPh sb="0" eb="2">
      <t>コウジ</t>
    </rPh>
    <rPh sb="2" eb="4">
      <t>キンガク</t>
    </rPh>
    <phoneticPr fontId="1"/>
  </si>
  <si>
    <t>様</t>
    <rPh sb="0" eb="1">
      <t>サマ</t>
    </rPh>
    <phoneticPr fontId="1"/>
  </si>
  <si>
    <t>工事金額</t>
    <rPh sb="0" eb="4">
      <t>コウジキンガク</t>
    </rPh>
    <phoneticPr fontId="1"/>
  </si>
  <si>
    <t>＝</t>
    <phoneticPr fontId="1"/>
  </si>
  <si>
    <t>+</t>
    <phoneticPr fontId="1"/>
  </si>
  <si>
    <t>高さ</t>
    <rPh sb="0" eb="1">
      <t>タカ</t>
    </rPh>
    <phoneticPr fontId="1"/>
  </si>
  <si>
    <t>・過度な破損、汚れ、滅失は別途請求申し上げますのでご了承願います。</t>
    <phoneticPr fontId="1"/>
  </si>
  <si>
    <t>運搬費（掛払）</t>
    <phoneticPr fontId="1"/>
  </si>
  <si>
    <t>×</t>
    <phoneticPr fontId="1"/>
  </si>
  <si>
    <t>L1</t>
    <phoneticPr fontId="1"/>
  </si>
  <si>
    <t>L2</t>
    <phoneticPr fontId="1"/>
  </si>
  <si>
    <t>面</t>
    <rPh sb="0" eb="1">
      <t>メン</t>
    </rPh>
    <phoneticPr fontId="1"/>
  </si>
  <si>
    <r>
      <t>・足場数量、使用期間、作業計画の変更が発生した場合は再見積り願います。</t>
    </r>
    <r>
      <rPr>
        <i/>
        <sz val="12"/>
        <color rgb="FFFF0000"/>
        <rFont val="HGP明朝E"/>
        <family val="1"/>
        <charset val="128"/>
      </rPr>
      <t>※重要</t>
    </r>
    <rPh sb="1" eb="3">
      <t>アシバ</t>
    </rPh>
    <rPh sb="3" eb="5">
      <t>スウリョウ</t>
    </rPh>
    <rPh sb="6" eb="8">
      <t>シヨウ</t>
    </rPh>
    <rPh sb="8" eb="10">
      <t>キカン</t>
    </rPh>
    <rPh sb="11" eb="13">
      <t>サギョウ</t>
    </rPh>
    <rPh sb="13" eb="15">
      <t>ケイカク</t>
    </rPh>
    <rPh sb="16" eb="18">
      <t>ヘンコウ</t>
    </rPh>
    <rPh sb="19" eb="21">
      <t>ハッセイ</t>
    </rPh>
    <rPh sb="23" eb="25">
      <t>バアイ</t>
    </rPh>
    <rPh sb="26" eb="29">
      <t>サイミツモ</t>
    </rPh>
    <rPh sb="30" eb="31">
      <t>ネガ</t>
    </rPh>
    <rPh sb="36" eb="38">
      <t>ジュウヨウ</t>
    </rPh>
    <phoneticPr fontId="1"/>
  </si>
  <si>
    <t>㎡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</si>
</sst>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&quot;¥&quot;\-#,##0"/>
    <numFmt numFmtId="176" formatCode="#,##0_);[Red]\(#,##0\)"/>
    <numFmt numFmtId="177" formatCode="0.0"/>
    <numFmt numFmtId="178" formatCode="0.000"/>
  </numFmts>
  <fonts count="64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theme="1"/>
      <name val="正調祥南行書体P"/>
      <family val="4"/>
      <charset val="128"/>
    </font>
    <font>
      <b/>
      <sz val="18"/>
      <color indexed="8"/>
      <name val="正調祥南行書体P"/>
      <family val="4"/>
      <charset val="128"/>
    </font>
    <font>
      <u/>
      <sz val="11"/>
      <color theme="1"/>
      <name val="正調祥南行書体P"/>
      <family val="4"/>
      <charset val="128"/>
    </font>
    <font>
      <i/>
      <sz val="11"/>
      <color theme="1"/>
      <name val="HGPMinchoE"/>
      <family val="1"/>
      <charset val="128"/>
    </font>
    <font>
      <i/>
      <sz val="14"/>
      <color indexed="8"/>
      <name val="HGPMinchoE"/>
      <family val="1"/>
      <charset val="128"/>
    </font>
    <font>
      <b/>
      <i/>
      <sz val="18"/>
      <color indexed="8"/>
      <name val="HGPMinchoE"/>
      <family val="1"/>
      <charset val="128"/>
    </font>
    <font>
      <i/>
      <sz val="12"/>
      <color indexed="8"/>
      <name val="HGPMinchoE"/>
      <family val="1"/>
      <charset val="128"/>
    </font>
    <font>
      <i/>
      <sz val="16"/>
      <color indexed="8"/>
      <name val="HGPMinchoE"/>
      <family val="1"/>
      <charset val="128"/>
    </font>
    <font>
      <i/>
      <sz val="26"/>
      <color indexed="9"/>
      <name val="HGPMinchoE"/>
      <family val="1"/>
      <charset val="128"/>
    </font>
    <font>
      <i/>
      <sz val="20"/>
      <color indexed="8"/>
      <name val="HGPMinchoE"/>
      <family val="1"/>
      <charset val="128"/>
    </font>
    <font>
      <b/>
      <i/>
      <sz val="20"/>
      <color indexed="8"/>
      <name val="HGPMinchoE"/>
      <family val="1"/>
      <charset val="128"/>
    </font>
    <font>
      <b/>
      <i/>
      <sz val="36"/>
      <color indexed="8"/>
      <name val="HGPMinchoE"/>
      <family val="1"/>
      <charset val="128"/>
    </font>
    <font>
      <i/>
      <u/>
      <sz val="11"/>
      <color theme="1"/>
      <name val="HGPMinchoE"/>
      <family val="1"/>
      <charset val="128"/>
    </font>
    <font>
      <i/>
      <sz val="10"/>
      <color indexed="8"/>
      <name val="HGPMinchoE"/>
      <family val="1"/>
      <charset val="128"/>
    </font>
    <font>
      <i/>
      <sz val="11"/>
      <color indexed="8"/>
      <name val="HGPMinchoE"/>
      <family val="1"/>
      <charset val="128"/>
    </font>
    <font>
      <i/>
      <sz val="11"/>
      <color theme="1"/>
      <name val="HGMinchoE"/>
      <family val="3"/>
      <charset val="128"/>
    </font>
    <font>
      <i/>
      <sz val="14"/>
      <color indexed="8"/>
      <name val="HGMinchoE"/>
      <family val="3"/>
      <charset val="128"/>
    </font>
    <font>
      <i/>
      <sz val="14"/>
      <color indexed="8"/>
      <name val="HGMinchoE"/>
      <family val="1"/>
      <charset val="128"/>
    </font>
    <font>
      <i/>
      <sz val="11"/>
      <color theme="1"/>
      <name val="HGMinchoE"/>
      <family val="1"/>
      <charset val="128"/>
    </font>
    <font>
      <b/>
      <i/>
      <sz val="18"/>
      <color indexed="8"/>
      <name val="HGMinchoE"/>
      <family val="1"/>
      <charset val="128"/>
    </font>
    <font>
      <i/>
      <sz val="12"/>
      <color indexed="8"/>
      <name val="HGMinchoE"/>
      <family val="1"/>
      <charset val="128"/>
    </font>
    <font>
      <i/>
      <sz val="16"/>
      <color indexed="9"/>
      <name val="HGMinchoE"/>
      <family val="1"/>
      <charset val="128"/>
    </font>
    <font>
      <i/>
      <sz val="12"/>
      <color indexed="8"/>
      <name val="HGMinchoE"/>
      <family val="3"/>
      <charset val="128"/>
    </font>
    <font>
      <i/>
      <sz val="16"/>
      <color indexed="9"/>
      <name val="HGMinchoE"/>
      <family val="3"/>
      <charset val="128"/>
    </font>
    <font>
      <i/>
      <sz val="11"/>
      <color indexed="9"/>
      <name val="HGMinchoE"/>
      <family val="1"/>
      <charset val="128"/>
    </font>
    <font>
      <i/>
      <sz val="11"/>
      <color theme="0"/>
      <name val="HGMinchoE"/>
      <family val="3"/>
      <charset val="128"/>
    </font>
    <font>
      <i/>
      <sz val="11"/>
      <color theme="0"/>
      <name val="HGMinchoE"/>
      <family val="1"/>
      <charset val="128"/>
    </font>
    <font>
      <i/>
      <sz val="12"/>
      <color theme="1"/>
      <name val="HGMinchoE"/>
      <family val="1"/>
      <charset val="128"/>
    </font>
    <font>
      <i/>
      <sz val="12"/>
      <color theme="1"/>
      <name val="HGMinchoE"/>
      <family val="3"/>
      <charset val="128"/>
    </font>
    <font>
      <i/>
      <sz val="12"/>
      <color theme="1"/>
      <name val="HGP明朝E"/>
      <family val="1"/>
      <charset val="128"/>
    </font>
    <font>
      <sz val="12"/>
      <color theme="1"/>
      <name val="正調祥南行書体P"/>
      <family val="4"/>
      <charset val="128"/>
    </font>
    <font>
      <sz val="12"/>
      <color theme="1"/>
      <name val="ＭＳ Ｐゴシック"/>
      <family val="3"/>
      <charset val="128"/>
      <scheme val="minor"/>
    </font>
    <font>
      <i/>
      <sz val="11"/>
      <color rgb="FFFF0000"/>
      <name val="HGPMinchoE"/>
      <family val="1"/>
      <charset val="128"/>
    </font>
    <font>
      <i/>
      <sz val="14"/>
      <color theme="1"/>
      <name val="HGMinchoE"/>
      <family val="1"/>
      <charset val="128"/>
    </font>
    <font>
      <i/>
      <sz val="14"/>
      <color theme="1"/>
      <name val="HGMinchoE"/>
      <charset val="128"/>
    </font>
    <font>
      <i/>
      <sz val="14"/>
      <color theme="0"/>
      <name val="HGMinchoE"/>
      <charset val="128"/>
    </font>
    <font>
      <i/>
      <sz val="14"/>
      <color theme="0"/>
      <name val="HGMinchoE"/>
      <family val="1"/>
      <charset val="128"/>
    </font>
    <font>
      <b/>
      <i/>
      <sz val="28"/>
      <color theme="1"/>
      <name val="HGMinchoE"/>
      <family val="1"/>
      <charset val="128"/>
    </font>
    <font>
      <i/>
      <sz val="13"/>
      <color theme="1"/>
      <name val="HGMinchoE"/>
      <family val="1"/>
      <charset val="128"/>
    </font>
    <font>
      <i/>
      <sz val="14"/>
      <name val="HGMinchoE"/>
      <charset val="128"/>
    </font>
    <font>
      <i/>
      <sz val="14"/>
      <name val="HGMinchoE"/>
      <family val="1"/>
      <charset val="128"/>
    </font>
    <font>
      <i/>
      <sz val="18"/>
      <color theme="1"/>
      <name val="HGMinchoE"/>
      <family val="1"/>
      <charset val="128"/>
    </font>
    <font>
      <sz val="6"/>
      <name val="ＭＳ Ｐゴシック"/>
      <family val="3"/>
      <charset val="128"/>
      <scheme val="minor"/>
    </font>
    <font>
      <sz val="14"/>
      <name val="HGP明朝E"/>
      <family val="1"/>
      <charset val="128"/>
    </font>
    <font>
      <b/>
      <i/>
      <sz val="22"/>
      <color indexed="8"/>
      <name val="HGMinchoE"/>
      <family val="1"/>
      <charset val="128"/>
    </font>
    <font>
      <i/>
      <sz val="18"/>
      <color indexed="8"/>
      <name val="HGMinchoE"/>
      <family val="3"/>
      <charset val="128"/>
    </font>
    <font>
      <b/>
      <i/>
      <sz val="36"/>
      <color theme="1"/>
      <name val="HGMinchoE"/>
      <family val="1"/>
      <charset val="128"/>
    </font>
    <font>
      <i/>
      <sz val="24"/>
      <color theme="1"/>
      <name val="HGPMinchoE"/>
      <family val="1"/>
      <charset val="128"/>
    </font>
    <font>
      <sz val="11"/>
      <color theme="1"/>
      <name val="ＭＳ Ｐゴシック"/>
      <family val="3"/>
      <charset val="128"/>
      <scheme val="minor"/>
    </font>
    <font>
      <i/>
      <sz val="12"/>
      <name val="HGMinchoE"/>
      <family val="1"/>
      <charset val="128"/>
    </font>
    <font>
      <i/>
      <sz val="12"/>
      <name val="HGMinchoE"/>
      <family val="3"/>
      <charset val="128"/>
    </font>
    <font>
      <i/>
      <sz val="12"/>
      <name val="HGMinchoE"/>
      <family val="1"/>
    </font>
    <font>
      <i/>
      <sz val="14"/>
      <color theme="1"/>
      <name val="HGPMinchoE"/>
      <family val="1"/>
      <charset val="128"/>
    </font>
    <font>
      <i/>
      <sz val="12"/>
      <name val="HG明朝E"/>
      <family val="1"/>
      <charset val="128"/>
    </font>
    <font>
      <i/>
      <sz val="12"/>
      <color indexed="9"/>
      <name val="HGMinchoE"/>
      <family val="1"/>
      <charset val="128"/>
    </font>
    <font>
      <sz val="12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i/>
      <sz val="13"/>
      <name val="HGMinchoE"/>
      <charset val="128"/>
    </font>
    <font>
      <i/>
      <sz val="12"/>
      <color theme="1"/>
      <name val="HGPMinchoE"/>
      <family val="1"/>
      <charset val="128"/>
    </font>
    <font>
      <i/>
      <sz val="14"/>
      <color rgb="FFFF0000"/>
      <name val="HGMinchoE"/>
      <charset val="128"/>
    </font>
    <font>
      <i/>
      <sz val="12"/>
      <color rgb="FFFF0000"/>
      <name val="HGP明朝E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57"/>
      </bottom>
      <diagonal/>
    </border>
    <border>
      <left/>
      <right/>
      <top style="thin">
        <color indexed="57"/>
      </top>
      <bottom/>
      <diagonal/>
    </border>
    <border>
      <left style="thin">
        <color indexed="57"/>
      </left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57"/>
      </left>
      <right style="thin">
        <color indexed="9"/>
      </right>
      <top/>
      <bottom/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indexed="55"/>
      </left>
      <right style="thin">
        <color indexed="55"/>
      </right>
      <top/>
      <bottom/>
      <diagonal/>
    </border>
    <border diagonalUp="1">
      <left style="thin">
        <color indexed="55"/>
      </left>
      <right style="thin">
        <color indexed="55"/>
      </right>
      <top style="thin">
        <color indexed="57"/>
      </top>
      <bottom/>
      <diagonal style="thin">
        <color indexed="55"/>
      </diagonal>
    </border>
    <border>
      <left style="thin">
        <color indexed="9"/>
      </left>
      <right style="thin">
        <color indexed="9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55"/>
      </left>
      <right/>
      <top style="thin">
        <color indexed="55"/>
      </top>
      <bottom style="thin">
        <color theme="1"/>
      </bottom>
      <diagonal/>
    </border>
    <border>
      <left/>
      <right style="thin">
        <color indexed="55"/>
      </right>
      <top style="thin">
        <color indexed="55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9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9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indexed="9"/>
      </right>
      <top style="thin">
        <color theme="0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indexed="9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theme="0"/>
      </top>
      <bottom/>
      <diagonal/>
    </border>
    <border>
      <left style="thin">
        <color indexed="9"/>
      </left>
      <right/>
      <top/>
      <bottom style="thin">
        <color theme="1"/>
      </bottom>
      <diagonal/>
    </border>
    <border>
      <left style="thin">
        <color indexed="9"/>
      </left>
      <right style="thin">
        <color indexed="9"/>
      </right>
      <top/>
      <bottom style="thin">
        <color theme="1"/>
      </bottom>
      <diagonal/>
    </border>
    <border>
      <left/>
      <right style="thin">
        <color indexed="9"/>
      </right>
      <top style="thin">
        <color theme="0"/>
      </top>
      <bottom/>
      <diagonal/>
    </border>
    <border>
      <left/>
      <right style="thin">
        <color indexed="9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6" fontId="51" fillId="0" borderId="0" applyFont="0" applyFill="0" applyBorder="0" applyAlignment="0" applyProtection="0">
      <alignment vertical="center"/>
    </xf>
  </cellStyleXfs>
  <cellXfs count="273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right" vertical="center"/>
    </xf>
    <xf numFmtId="0" fontId="12" fillId="2" borderId="0" xfId="0" applyFont="1" applyFill="1">
      <alignment vertical="center"/>
    </xf>
    <xf numFmtId="0" fontId="12" fillId="2" borderId="2" xfId="0" applyFont="1" applyFill="1" applyBorder="1">
      <alignment vertical="center"/>
    </xf>
    <xf numFmtId="0" fontId="15" fillId="0" borderId="0" xfId="0" applyFont="1">
      <alignment vertical="center"/>
    </xf>
    <xf numFmtId="0" fontId="12" fillId="0" borderId="0" xfId="0" applyFont="1">
      <alignment vertical="center"/>
    </xf>
    <xf numFmtId="0" fontId="12" fillId="0" borderId="2" xfId="0" applyFont="1" applyBorder="1">
      <alignment vertical="center"/>
    </xf>
    <xf numFmtId="0" fontId="6" fillId="0" borderId="2" xfId="0" applyFont="1" applyBorder="1">
      <alignment vertical="center"/>
    </xf>
    <xf numFmtId="0" fontId="9" fillId="0" borderId="3" xfId="0" applyFont="1" applyBorder="1">
      <alignment vertical="center"/>
    </xf>
    <xf numFmtId="0" fontId="18" fillId="0" borderId="0" xfId="0" applyFont="1">
      <alignment vertical="center"/>
    </xf>
    <xf numFmtId="0" fontId="21" fillId="2" borderId="0" xfId="0" applyFont="1" applyFill="1">
      <alignment vertical="center"/>
    </xf>
    <xf numFmtId="0" fontId="22" fillId="2" borderId="2" xfId="0" applyFont="1" applyFill="1" applyBorder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3" fillId="5" borderId="0" xfId="0" applyFont="1" applyFill="1">
      <alignment vertical="center"/>
    </xf>
    <xf numFmtId="0" fontId="0" fillId="5" borderId="0" xfId="0" applyFill="1">
      <alignment vertical="center"/>
    </xf>
    <xf numFmtId="0" fontId="3" fillId="4" borderId="0" xfId="0" applyFont="1" applyFill="1">
      <alignment vertical="center"/>
    </xf>
    <xf numFmtId="0" fontId="0" fillId="4" borderId="0" xfId="0" applyFill="1">
      <alignment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4" fillId="4" borderId="0" xfId="0" applyFont="1" applyFill="1" applyAlignment="1">
      <alignment vertical="center" wrapText="1"/>
    </xf>
    <xf numFmtId="0" fontId="34" fillId="5" borderId="0" xfId="0" applyFont="1" applyFill="1" applyAlignment="1">
      <alignment vertical="center" wrapText="1"/>
    </xf>
    <xf numFmtId="0" fontId="42" fillId="5" borderId="13" xfId="0" applyFont="1" applyFill="1" applyBorder="1" applyAlignment="1">
      <alignment horizontal="center" vertical="center" wrapText="1"/>
    </xf>
    <xf numFmtId="0" fontId="37" fillId="4" borderId="13" xfId="0" applyFont="1" applyFill="1" applyBorder="1" applyAlignment="1">
      <alignment horizontal="center" vertical="center" wrapText="1"/>
    </xf>
    <xf numFmtId="0" fontId="38" fillId="2" borderId="13" xfId="0" applyFont="1" applyFill="1" applyBorder="1" applyAlignment="1">
      <alignment horizontal="center" vertical="center" wrapText="1"/>
    </xf>
    <xf numFmtId="0" fontId="43" fillId="5" borderId="13" xfId="0" applyFont="1" applyFill="1" applyBorder="1" applyAlignment="1">
      <alignment horizontal="center" vertical="center" wrapText="1"/>
    </xf>
    <xf numFmtId="0" fontId="43" fillId="4" borderId="13" xfId="0" applyFont="1" applyFill="1" applyBorder="1" applyAlignment="1">
      <alignment horizontal="center" vertical="center" wrapText="1"/>
    </xf>
    <xf numFmtId="0" fontId="28" fillId="2" borderId="12" xfId="0" applyFont="1" applyFill="1" applyBorder="1" applyAlignment="1">
      <alignment horizontal="center" vertical="center" wrapText="1"/>
    </xf>
    <xf numFmtId="0" fontId="27" fillId="2" borderId="12" xfId="0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vertical="center" wrapText="1"/>
    </xf>
    <xf numFmtId="0" fontId="37" fillId="4" borderId="18" xfId="0" applyFont="1" applyFill="1" applyBorder="1" applyAlignment="1">
      <alignment horizontal="center" vertical="center" wrapText="1"/>
    </xf>
    <xf numFmtId="0" fontId="36" fillId="5" borderId="18" xfId="0" applyFont="1" applyFill="1" applyBorder="1" applyAlignment="1">
      <alignment horizontal="center" vertical="center" wrapText="1"/>
    </xf>
    <xf numFmtId="0" fontId="37" fillId="5" borderId="18" xfId="0" applyFont="1" applyFill="1" applyBorder="1" applyAlignment="1">
      <alignment horizontal="center" vertical="center" wrapText="1"/>
    </xf>
    <xf numFmtId="0" fontId="36" fillId="4" borderId="18" xfId="0" applyFont="1" applyFill="1" applyBorder="1" applyAlignment="1">
      <alignment horizontal="center" vertical="center" wrapText="1"/>
    </xf>
    <xf numFmtId="0" fontId="30" fillId="5" borderId="32" xfId="0" applyFont="1" applyFill="1" applyBorder="1" applyAlignment="1">
      <alignment horizontal="center" vertical="center" wrapText="1"/>
    </xf>
    <xf numFmtId="0" fontId="39" fillId="2" borderId="33" xfId="0" applyFont="1" applyFill="1" applyBorder="1" applyAlignment="1">
      <alignment horizontal="center" vertical="center" wrapText="1"/>
    </xf>
    <xf numFmtId="0" fontId="29" fillId="2" borderId="37" xfId="0" applyFont="1" applyFill="1" applyBorder="1" applyAlignment="1">
      <alignment horizontal="center" vertical="center" wrapText="1"/>
    </xf>
    <xf numFmtId="0" fontId="29" fillId="2" borderId="36" xfId="0" applyFont="1" applyFill="1" applyBorder="1" applyAlignment="1">
      <alignment horizontal="center" vertical="center" wrapText="1"/>
    </xf>
    <xf numFmtId="0" fontId="0" fillId="0" borderId="41" xfId="0" applyBorder="1">
      <alignment vertical="center"/>
    </xf>
    <xf numFmtId="0" fontId="6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0" fontId="13" fillId="0" borderId="2" xfId="0" applyFont="1" applyBorder="1">
      <alignment vertical="center"/>
    </xf>
    <xf numFmtId="0" fontId="10" fillId="0" borderId="3" xfId="0" applyFont="1" applyBorder="1">
      <alignment vertical="center"/>
    </xf>
    <xf numFmtId="0" fontId="10" fillId="0" borderId="0" xfId="0" applyFont="1">
      <alignment vertical="center"/>
    </xf>
    <xf numFmtId="0" fontId="52" fillId="5" borderId="18" xfId="0" applyFont="1" applyFill="1" applyBorder="1" applyAlignment="1">
      <alignment horizontal="center" vertical="center" wrapText="1"/>
    </xf>
    <xf numFmtId="0" fontId="52" fillId="5" borderId="21" xfId="0" applyFont="1" applyFill="1" applyBorder="1" applyAlignment="1">
      <alignment horizontal="center" vertical="center" wrapText="1"/>
    </xf>
    <xf numFmtId="0" fontId="52" fillId="5" borderId="14" xfId="0" applyFont="1" applyFill="1" applyBorder="1" applyAlignment="1">
      <alignment horizontal="center" vertical="center" wrapText="1"/>
    </xf>
    <xf numFmtId="0" fontId="52" fillId="5" borderId="13" xfId="0" applyFont="1" applyFill="1" applyBorder="1" applyAlignment="1">
      <alignment horizontal="center" vertical="center" shrinkToFit="1"/>
    </xf>
    <xf numFmtId="38" fontId="52" fillId="5" borderId="27" xfId="1" applyFont="1" applyFill="1" applyBorder="1" applyAlignment="1">
      <alignment horizontal="center" vertical="center" shrinkToFit="1"/>
    </xf>
    <xf numFmtId="38" fontId="52" fillId="5" borderId="11" xfId="1" applyFont="1" applyFill="1" applyBorder="1" applyAlignment="1">
      <alignment horizontal="center" vertical="center" shrinkToFit="1"/>
    </xf>
    <xf numFmtId="38" fontId="53" fillId="5" borderId="11" xfId="1" applyFont="1" applyFill="1" applyBorder="1" applyAlignment="1">
      <alignment horizontal="center" vertical="center" shrinkToFit="1"/>
    </xf>
    <xf numFmtId="38" fontId="52" fillId="0" borderId="27" xfId="1" applyFont="1" applyFill="1" applyBorder="1" applyAlignment="1">
      <alignment horizontal="center" vertical="center" shrinkToFit="1"/>
    </xf>
    <xf numFmtId="38" fontId="52" fillId="0" borderId="11" xfId="1" applyFont="1" applyFill="1" applyBorder="1" applyAlignment="1">
      <alignment horizontal="center" vertical="center" shrinkToFit="1"/>
    </xf>
    <xf numFmtId="38" fontId="53" fillId="0" borderId="11" xfId="1" applyFont="1" applyFill="1" applyBorder="1" applyAlignment="1">
      <alignment horizontal="center" vertical="center" shrinkToFit="1"/>
    </xf>
    <xf numFmtId="38" fontId="56" fillId="5" borderId="11" xfId="1" applyFont="1" applyFill="1" applyBorder="1" applyAlignment="1">
      <alignment horizontal="center" vertical="center" shrinkToFit="1"/>
    </xf>
    <xf numFmtId="38" fontId="56" fillId="0" borderId="11" xfId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 wrapText="1"/>
    </xf>
    <xf numFmtId="0" fontId="36" fillId="5" borderId="11" xfId="0" applyFont="1" applyFill="1" applyBorder="1" applyAlignment="1">
      <alignment horizontal="center" vertical="center" shrinkToFit="1"/>
    </xf>
    <xf numFmtId="0" fontId="37" fillId="5" borderId="11" xfId="0" applyFont="1" applyFill="1" applyBorder="1" applyAlignment="1">
      <alignment horizontal="center" vertical="center" shrinkToFit="1"/>
    </xf>
    <xf numFmtId="0" fontId="52" fillId="0" borderId="18" xfId="0" applyFont="1" applyBorder="1" applyAlignment="1">
      <alignment horizontal="center" vertical="center" wrapText="1"/>
    </xf>
    <xf numFmtId="0" fontId="52" fillId="0" borderId="13" xfId="0" applyFont="1" applyBorder="1" applyAlignment="1">
      <alignment horizontal="center" vertical="center" wrapText="1"/>
    </xf>
    <xf numFmtId="0" fontId="52" fillId="0" borderId="14" xfId="0" applyFont="1" applyBorder="1" applyAlignment="1">
      <alignment horizontal="center" vertical="center" wrapText="1"/>
    </xf>
    <xf numFmtId="0" fontId="52" fillId="0" borderId="13" xfId="0" applyFont="1" applyBorder="1" applyAlignment="1">
      <alignment horizontal="center" vertical="center" shrinkToFit="1"/>
    </xf>
    <xf numFmtId="0" fontId="58" fillId="0" borderId="0" xfId="0" applyFont="1" applyAlignment="1">
      <alignment vertical="center" wrapText="1"/>
    </xf>
    <xf numFmtId="0" fontId="52" fillId="0" borderId="14" xfId="0" applyFont="1" applyBorder="1" applyAlignment="1">
      <alignment horizontal="center" vertical="center" shrinkToFit="1"/>
    </xf>
    <xf numFmtId="0" fontId="54" fillId="0" borderId="14" xfId="0" applyFont="1" applyBorder="1" applyAlignment="1">
      <alignment horizontal="center" vertical="center" wrapText="1"/>
    </xf>
    <xf numFmtId="38" fontId="40" fillId="5" borderId="63" xfId="1" applyFont="1" applyFill="1" applyBorder="1" applyAlignment="1">
      <alignment horizontal="center" vertical="center" wrapText="1"/>
    </xf>
    <xf numFmtId="0" fontId="37" fillId="4" borderId="58" xfId="0" applyFont="1" applyFill="1" applyBorder="1" applyAlignment="1">
      <alignment horizontal="center" vertical="center" shrinkToFit="1"/>
    </xf>
    <xf numFmtId="0" fontId="37" fillId="4" borderId="29" xfId="0" applyFont="1" applyFill="1" applyBorder="1" applyAlignment="1">
      <alignment horizontal="center" vertical="center" shrinkToFit="1"/>
    </xf>
    <xf numFmtId="0" fontId="36" fillId="4" borderId="11" xfId="0" applyFont="1" applyFill="1" applyBorder="1" applyAlignment="1">
      <alignment horizontal="center" vertical="center" shrinkToFi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59" fillId="5" borderId="11" xfId="0" applyFont="1" applyFill="1" applyBorder="1" applyAlignment="1">
      <alignment horizontal="center" vertical="center" wrapText="1"/>
    </xf>
    <xf numFmtId="177" fontId="59" fillId="5" borderId="11" xfId="0" applyNumberFormat="1" applyFont="1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59" fillId="5" borderId="65" xfId="0" applyFont="1" applyFill="1" applyBorder="1" applyAlignment="1">
      <alignment vertical="center" wrapText="1"/>
    </xf>
    <xf numFmtId="0" fontId="34" fillId="5" borderId="0" xfId="0" applyFont="1" applyFill="1" applyAlignment="1">
      <alignment horizontal="center" vertical="center" wrapText="1"/>
    </xf>
    <xf numFmtId="0" fontId="59" fillId="5" borderId="0" xfId="0" applyFont="1" applyFill="1" applyAlignment="1">
      <alignment horizontal="center" vertical="center" wrapText="1"/>
    </xf>
    <xf numFmtId="177" fontId="59" fillId="5" borderId="0" xfId="0" applyNumberFormat="1" applyFont="1" applyFill="1" applyAlignment="1">
      <alignment horizontal="center" vertical="center" wrapText="1"/>
    </xf>
    <xf numFmtId="0" fontId="58" fillId="0" borderId="11" xfId="0" applyFont="1" applyBorder="1" applyAlignment="1">
      <alignment horizontal="center" vertical="center" wrapText="1"/>
    </xf>
    <xf numFmtId="0" fontId="34" fillId="5" borderId="11" xfId="0" applyFont="1" applyFill="1" applyBorder="1" applyAlignment="1">
      <alignment horizontal="center" vertical="center" wrapText="1"/>
    </xf>
    <xf numFmtId="0" fontId="58" fillId="0" borderId="11" xfId="0" applyFont="1" applyBorder="1" applyAlignment="1">
      <alignment vertical="center" wrapText="1"/>
    </xf>
    <xf numFmtId="0" fontId="0" fillId="4" borderId="11" xfId="0" applyFill="1" applyBorder="1" applyAlignment="1">
      <alignment vertical="center" wrapText="1"/>
    </xf>
    <xf numFmtId="178" fontId="59" fillId="5" borderId="1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61" fillId="0" borderId="11" xfId="0" applyFont="1" applyBorder="1" applyAlignment="1">
      <alignment horizontal="center" vertical="center"/>
    </xf>
    <xf numFmtId="0" fontId="55" fillId="0" borderId="11" xfId="0" applyFont="1" applyBorder="1" applyAlignment="1">
      <alignment horizontal="center" vertical="center"/>
    </xf>
    <xf numFmtId="58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4" fillId="0" borderId="2" xfId="0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6" fontId="14" fillId="0" borderId="0" xfId="2" applyFont="1" applyAlignment="1">
      <alignment horizontal="center" vertical="center"/>
    </xf>
    <xf numFmtId="6" fontId="14" fillId="0" borderId="2" xfId="2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46" fillId="6" borderId="0" xfId="0" applyFont="1" applyFill="1" applyAlignment="1">
      <alignment horizontal="center" vertical="center"/>
    </xf>
    <xf numFmtId="3" fontId="10" fillId="0" borderId="30" xfId="0" applyNumberFormat="1" applyFont="1" applyBorder="1" applyAlignment="1">
      <alignment horizontal="right" vertical="center"/>
    </xf>
    <xf numFmtId="3" fontId="10" fillId="0" borderId="1" xfId="0" applyNumberFormat="1" applyFont="1" applyBorder="1" applyAlignment="1">
      <alignment horizontal="right" vertical="center"/>
    </xf>
    <xf numFmtId="38" fontId="10" fillId="0" borderId="3" xfId="1" applyFont="1" applyBorder="1" applyAlignment="1">
      <alignment horizontal="right" vertical="center"/>
    </xf>
    <xf numFmtId="38" fontId="10" fillId="0" borderId="1" xfId="1" applyFont="1" applyBorder="1" applyAlignment="1">
      <alignment horizontal="right" vertical="center"/>
    </xf>
    <xf numFmtId="38" fontId="10" fillId="0" borderId="3" xfId="1" applyFont="1" applyBorder="1" applyAlignment="1">
      <alignment horizontal="center" vertical="center"/>
    </xf>
    <xf numFmtId="38" fontId="10" fillId="0" borderId="1" xfId="1" applyFont="1" applyBorder="1" applyAlignment="1">
      <alignment horizontal="center" vertical="center"/>
    </xf>
    <xf numFmtId="3" fontId="10" fillId="0" borderId="30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58" fontId="19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" borderId="9" xfId="0" applyFont="1" applyFill="1" applyBorder="1" applyAlignment="1">
      <alignment horizontal="center" vertical="center"/>
    </xf>
    <xf numFmtId="38" fontId="41" fillId="0" borderId="8" xfId="1" applyFont="1" applyBorder="1" applyAlignment="1">
      <alignment horizontal="center" vertical="center"/>
    </xf>
    <xf numFmtId="38" fontId="41" fillId="0" borderId="9" xfId="1" applyFont="1" applyBorder="1" applyAlignment="1">
      <alignment horizontal="center" vertical="center"/>
    </xf>
    <xf numFmtId="38" fontId="41" fillId="0" borderId="10" xfId="1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38" fontId="21" fillId="0" borderId="8" xfId="1" applyFont="1" applyBorder="1" applyAlignment="1">
      <alignment horizontal="center" vertical="center"/>
    </xf>
    <xf numFmtId="38" fontId="21" fillId="0" borderId="9" xfId="1" applyFont="1" applyBorder="1" applyAlignment="1">
      <alignment horizontal="center" vertical="center"/>
    </xf>
    <xf numFmtId="38" fontId="21" fillId="0" borderId="10" xfId="1" applyFont="1" applyBorder="1" applyAlignment="1">
      <alignment horizontal="center" vertical="center"/>
    </xf>
    <xf numFmtId="38" fontId="30" fillId="0" borderId="8" xfId="1" applyFont="1" applyBorder="1" applyAlignment="1">
      <alignment horizontal="center" vertical="center"/>
    </xf>
    <xf numFmtId="38" fontId="30" fillId="0" borderId="9" xfId="1" applyFont="1" applyBorder="1" applyAlignment="1">
      <alignment horizontal="center" vertical="center"/>
    </xf>
    <xf numFmtId="38" fontId="30" fillId="0" borderId="10" xfId="1" applyFont="1" applyBorder="1" applyAlignment="1">
      <alignment horizontal="center" vertical="center"/>
    </xf>
    <xf numFmtId="38" fontId="41" fillId="5" borderId="8" xfId="1" applyFont="1" applyFill="1" applyBorder="1" applyAlignment="1">
      <alignment horizontal="center" vertical="center"/>
    </xf>
    <xf numFmtId="38" fontId="41" fillId="5" borderId="9" xfId="1" applyFont="1" applyFill="1" applyBorder="1" applyAlignment="1">
      <alignment horizontal="center" vertical="center"/>
    </xf>
    <xf numFmtId="38" fontId="41" fillId="5" borderId="10" xfId="1" applyFont="1" applyFill="1" applyBorder="1" applyAlignment="1">
      <alignment horizontal="center" vertical="center"/>
    </xf>
    <xf numFmtId="0" fontId="21" fillId="5" borderId="8" xfId="0" applyFont="1" applyFill="1" applyBorder="1">
      <alignment vertical="center"/>
    </xf>
    <xf numFmtId="0" fontId="21" fillId="5" borderId="9" xfId="0" applyFont="1" applyFill="1" applyBorder="1">
      <alignment vertical="center"/>
    </xf>
    <xf numFmtId="0" fontId="21" fillId="5" borderId="10" xfId="0" applyFont="1" applyFill="1" applyBorder="1">
      <alignment vertical="center"/>
    </xf>
    <xf numFmtId="38" fontId="41" fillId="3" borderId="24" xfId="1" applyFont="1" applyFill="1" applyBorder="1" applyAlignment="1">
      <alignment horizontal="center" vertical="center"/>
    </xf>
    <xf numFmtId="38" fontId="21" fillId="5" borderId="8" xfId="1" applyFont="1" applyFill="1" applyBorder="1" applyAlignment="1">
      <alignment horizontal="center" vertical="center"/>
    </xf>
    <xf numFmtId="38" fontId="21" fillId="5" borderId="9" xfId="1" applyFont="1" applyFill="1" applyBorder="1" applyAlignment="1">
      <alignment horizontal="center" vertical="center"/>
    </xf>
    <xf numFmtId="38" fontId="21" fillId="5" borderId="10" xfId="1" applyFont="1" applyFill="1" applyBorder="1" applyAlignment="1">
      <alignment horizontal="center" vertical="center"/>
    </xf>
    <xf numFmtId="0" fontId="21" fillId="0" borderId="8" xfId="0" applyFont="1" applyBorder="1">
      <alignment vertical="center"/>
    </xf>
    <xf numFmtId="0" fontId="21" fillId="0" borderId="9" xfId="0" applyFont="1" applyBorder="1">
      <alignment vertical="center"/>
    </xf>
    <xf numFmtId="0" fontId="21" fillId="0" borderId="10" xfId="0" applyFont="1" applyBorder="1">
      <alignment vertical="center"/>
    </xf>
    <xf numFmtId="0" fontId="32" fillId="0" borderId="15" xfId="0" applyFont="1" applyBorder="1" applyAlignment="1">
      <alignment horizontal="left" vertical="center"/>
    </xf>
    <xf numFmtId="0" fontId="32" fillId="0" borderId="16" xfId="0" applyFont="1" applyBorder="1" applyAlignment="1">
      <alignment horizontal="left" vertical="center"/>
    </xf>
    <xf numFmtId="0" fontId="32" fillId="0" borderId="19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23" xfId="0" applyFont="1" applyBorder="1" applyAlignment="1">
      <alignment horizontal="left" vertical="center"/>
    </xf>
    <xf numFmtId="38" fontId="21" fillId="3" borderId="25" xfId="1" applyFont="1" applyFill="1" applyBorder="1" applyAlignment="1">
      <alignment horizontal="center" vertical="center"/>
    </xf>
    <xf numFmtId="0" fontId="21" fillId="3" borderId="24" xfId="0" applyFont="1" applyFill="1" applyBorder="1" applyAlignment="1">
      <alignment horizontal="center" vertical="center"/>
    </xf>
    <xf numFmtId="0" fontId="21" fillId="3" borderId="34" xfId="0" applyFont="1" applyFill="1" applyBorder="1" applyAlignment="1">
      <alignment horizontal="center" vertical="center"/>
    </xf>
    <xf numFmtId="0" fontId="21" fillId="3" borderId="35" xfId="0" applyFont="1" applyFill="1" applyBorder="1" applyAlignment="1">
      <alignment horizontal="center" vertical="center"/>
    </xf>
    <xf numFmtId="38" fontId="32" fillId="0" borderId="21" xfId="1" applyFont="1" applyBorder="1" applyAlignment="1">
      <alignment vertical="top" wrapText="1"/>
    </xf>
    <xf numFmtId="38" fontId="32" fillId="0" borderId="17" xfId="1" applyFont="1" applyBorder="1" applyAlignment="1">
      <alignment vertical="top" wrapText="1"/>
    </xf>
    <xf numFmtId="38" fontId="32" fillId="0" borderId="20" xfId="1" applyFont="1" applyBorder="1" applyAlignment="1">
      <alignment vertical="top" wrapText="1"/>
    </xf>
    <xf numFmtId="38" fontId="32" fillId="0" borderId="22" xfId="1" applyFont="1" applyBorder="1" applyAlignment="1">
      <alignment vertical="center"/>
    </xf>
    <xf numFmtId="38" fontId="32" fillId="0" borderId="0" xfId="1" applyFont="1" applyBorder="1" applyAlignment="1">
      <alignment vertical="center"/>
    </xf>
    <xf numFmtId="38" fontId="32" fillId="0" borderId="23" xfId="1" applyFont="1" applyBorder="1" applyAlignment="1">
      <alignment vertical="center"/>
    </xf>
    <xf numFmtId="0" fontId="0" fillId="5" borderId="0" xfId="0" applyFill="1" applyAlignment="1">
      <alignment horizontal="center" vertical="center" wrapText="1"/>
    </xf>
    <xf numFmtId="38" fontId="44" fillId="4" borderId="27" xfId="0" applyNumberFormat="1" applyFont="1" applyFill="1" applyBorder="1" applyAlignment="1">
      <alignment horizontal="center" vertical="center" shrinkToFit="1"/>
    </xf>
    <xf numFmtId="38" fontId="44" fillId="4" borderId="48" xfId="0" applyNumberFormat="1" applyFont="1" applyFill="1" applyBorder="1" applyAlignment="1">
      <alignment horizontal="center" vertical="center" shrinkToFit="1"/>
    </xf>
    <xf numFmtId="38" fontId="44" fillId="4" borderId="28" xfId="0" applyNumberFormat="1" applyFont="1" applyFill="1" applyBorder="1" applyAlignment="1">
      <alignment horizontal="center" vertical="center" shrinkToFit="1"/>
    </xf>
    <xf numFmtId="38" fontId="44" fillId="4" borderId="62" xfId="1" applyFont="1" applyFill="1" applyBorder="1" applyAlignment="1">
      <alignment horizontal="center" vertical="center" shrinkToFit="1"/>
    </xf>
    <xf numFmtId="38" fontId="44" fillId="4" borderId="61" xfId="1" applyFont="1" applyFill="1" applyBorder="1" applyAlignment="1">
      <alignment horizontal="center" vertical="center" shrinkToFit="1"/>
    </xf>
    <xf numFmtId="38" fontId="44" fillId="4" borderId="60" xfId="0" applyNumberFormat="1" applyFont="1" applyFill="1" applyBorder="1" applyAlignment="1">
      <alignment horizontal="center" vertical="center" shrinkToFit="1"/>
    </xf>
    <xf numFmtId="38" fontId="44" fillId="4" borderId="61" xfId="0" applyNumberFormat="1" applyFont="1" applyFill="1" applyBorder="1" applyAlignment="1">
      <alignment horizontal="center" vertical="center" shrinkToFit="1"/>
    </xf>
    <xf numFmtId="0" fontId="0" fillId="0" borderId="59" xfId="0" applyBorder="1" applyAlignment="1">
      <alignment horizontal="center" vertical="center" wrapText="1"/>
    </xf>
    <xf numFmtId="38" fontId="53" fillId="5" borderId="27" xfId="1" applyFont="1" applyFill="1" applyBorder="1" applyAlignment="1">
      <alignment horizontal="center" vertical="center" shrinkToFit="1"/>
    </xf>
    <xf numFmtId="38" fontId="53" fillId="5" borderId="28" xfId="1" applyFont="1" applyFill="1" applyBorder="1" applyAlignment="1">
      <alignment horizontal="center" vertical="center" shrinkToFit="1"/>
    </xf>
    <xf numFmtId="38" fontId="53" fillId="0" borderId="27" xfId="1" applyFont="1" applyFill="1" applyBorder="1" applyAlignment="1">
      <alignment horizontal="center" vertical="center" shrinkToFit="1"/>
    </xf>
    <xf numFmtId="38" fontId="53" fillId="0" borderId="28" xfId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 wrapText="1"/>
    </xf>
    <xf numFmtId="38" fontId="36" fillId="5" borderId="48" xfId="1" applyFont="1" applyFill="1" applyBorder="1" applyAlignment="1">
      <alignment horizontal="center" vertical="center" shrinkToFit="1"/>
    </xf>
    <xf numFmtId="38" fontId="36" fillId="5" borderId="28" xfId="1" applyFont="1" applyFill="1" applyBorder="1" applyAlignment="1">
      <alignment horizontal="center" vertical="center" shrinkToFit="1"/>
    </xf>
    <xf numFmtId="176" fontId="36" fillId="5" borderId="27" xfId="0" applyNumberFormat="1" applyFont="1" applyFill="1" applyBorder="1" applyAlignment="1">
      <alignment horizontal="center" vertical="center" shrinkToFit="1"/>
    </xf>
    <xf numFmtId="176" fontId="36" fillId="5" borderId="48" xfId="0" applyNumberFormat="1" applyFont="1" applyFill="1" applyBorder="1" applyAlignment="1">
      <alignment horizontal="center" vertical="center" shrinkToFit="1"/>
    </xf>
    <xf numFmtId="176" fontId="36" fillId="5" borderId="28" xfId="0" applyNumberFormat="1" applyFont="1" applyFill="1" applyBorder="1" applyAlignment="1">
      <alignment horizontal="center" vertical="center" shrinkToFit="1"/>
    </xf>
    <xf numFmtId="0" fontId="52" fillId="5" borderId="14" xfId="0" applyFont="1" applyFill="1" applyBorder="1" applyAlignment="1">
      <alignment horizontal="center" vertical="center" wrapText="1"/>
    </xf>
    <xf numFmtId="0" fontId="52" fillId="5" borderId="57" xfId="0" applyFont="1" applyFill="1" applyBorder="1" applyAlignment="1">
      <alignment horizontal="center" vertical="center" wrapText="1"/>
    </xf>
    <xf numFmtId="0" fontId="52" fillId="5" borderId="54" xfId="0" applyFont="1" applyFill="1" applyBorder="1" applyAlignment="1">
      <alignment horizontal="center" vertical="center" wrapText="1"/>
    </xf>
    <xf numFmtId="0" fontId="52" fillId="0" borderId="14" xfId="0" applyFont="1" applyBorder="1" applyAlignment="1">
      <alignment horizontal="center" vertical="center" wrapText="1"/>
    </xf>
    <xf numFmtId="0" fontId="52" fillId="0" borderId="57" xfId="0" applyFont="1" applyBorder="1" applyAlignment="1">
      <alignment horizontal="center" vertical="center" wrapText="1"/>
    </xf>
    <xf numFmtId="0" fontId="52" fillId="0" borderId="54" xfId="0" applyFont="1" applyBorder="1" applyAlignment="1">
      <alignment horizontal="center" vertical="center" wrapText="1"/>
    </xf>
    <xf numFmtId="0" fontId="57" fillId="2" borderId="49" xfId="0" applyFont="1" applyFill="1" applyBorder="1" applyAlignment="1">
      <alignment horizontal="center" vertical="center" wrapText="1"/>
    </xf>
    <xf numFmtId="0" fontId="57" fillId="2" borderId="50" xfId="0" applyFont="1" applyFill="1" applyBorder="1" applyAlignment="1">
      <alignment horizontal="center" vertical="center" wrapText="1"/>
    </xf>
    <xf numFmtId="0" fontId="28" fillId="2" borderId="46" xfId="0" applyFont="1" applyFill="1" applyBorder="1" applyAlignment="1">
      <alignment horizontal="center" vertical="center" wrapText="1"/>
    </xf>
    <xf numFmtId="0" fontId="28" fillId="2" borderId="47" xfId="0" applyFont="1" applyFill="1" applyBorder="1" applyAlignment="1">
      <alignment horizontal="center" vertical="center" wrapText="1"/>
    </xf>
    <xf numFmtId="0" fontId="37" fillId="4" borderId="14" xfId="0" applyFont="1" applyFill="1" applyBorder="1" applyAlignment="1">
      <alignment horizontal="center" vertical="center" wrapText="1"/>
    </xf>
    <xf numFmtId="0" fontId="37" fillId="4" borderId="57" xfId="0" applyFont="1" applyFill="1" applyBorder="1" applyAlignment="1">
      <alignment horizontal="center" vertical="center" wrapText="1"/>
    </xf>
    <xf numFmtId="0" fontId="36" fillId="5" borderId="14" xfId="0" applyFont="1" applyFill="1" applyBorder="1" applyAlignment="1">
      <alignment horizontal="center" vertical="center" wrapText="1"/>
    </xf>
    <xf numFmtId="0" fontId="36" fillId="5" borderId="57" xfId="0" applyFont="1" applyFill="1" applyBorder="1" applyAlignment="1">
      <alignment horizontal="center" vertical="center" wrapText="1"/>
    </xf>
    <xf numFmtId="0" fontId="54" fillId="0" borderId="14" xfId="0" applyFont="1" applyBorder="1" applyAlignment="1">
      <alignment horizontal="center" vertical="center" wrapText="1"/>
    </xf>
    <xf numFmtId="0" fontId="54" fillId="0" borderId="57" xfId="0" applyFont="1" applyBorder="1" applyAlignment="1">
      <alignment horizontal="center" vertical="center" wrapText="1"/>
    </xf>
    <xf numFmtId="0" fontId="54" fillId="0" borderId="54" xfId="0" applyFont="1" applyBorder="1" applyAlignment="1">
      <alignment horizontal="center" vertical="center" wrapText="1"/>
    </xf>
    <xf numFmtId="0" fontId="62" fillId="0" borderId="21" xfId="0" applyFont="1" applyBorder="1" applyAlignment="1">
      <alignment horizontal="center" vertical="center" wrapText="1"/>
    </xf>
    <xf numFmtId="0" fontId="62" fillId="0" borderId="17" xfId="0" applyFont="1" applyBorder="1" applyAlignment="1">
      <alignment horizontal="center" vertical="center" wrapText="1"/>
    </xf>
    <xf numFmtId="0" fontId="62" fillId="0" borderId="20" xfId="0" applyFont="1" applyBorder="1" applyAlignment="1">
      <alignment horizontal="center" vertical="center" wrapText="1"/>
    </xf>
    <xf numFmtId="0" fontId="26" fillId="2" borderId="40" xfId="0" applyFont="1" applyFill="1" applyBorder="1" applyAlignment="1">
      <alignment horizontal="center" vertical="center" wrapText="1"/>
    </xf>
    <xf numFmtId="0" fontId="26" fillId="2" borderId="39" xfId="0" applyFont="1" applyFill="1" applyBorder="1" applyAlignment="1">
      <alignment horizontal="center" vertical="center" wrapText="1"/>
    </xf>
    <xf numFmtId="0" fontId="24" fillId="2" borderId="26" xfId="0" applyFont="1" applyFill="1" applyBorder="1" applyAlignment="1">
      <alignment horizontal="center" vertical="center" wrapText="1"/>
    </xf>
    <xf numFmtId="0" fontId="24" fillId="2" borderId="51" xfId="0" applyFont="1" applyFill="1" applyBorder="1" applyAlignment="1">
      <alignment horizontal="center" vertical="center" wrapText="1"/>
    </xf>
    <xf numFmtId="38" fontId="36" fillId="5" borderId="27" xfId="0" applyNumberFormat="1" applyFont="1" applyFill="1" applyBorder="1" applyAlignment="1">
      <alignment horizontal="center" vertical="center" shrinkToFit="1"/>
    </xf>
    <xf numFmtId="38" fontId="36" fillId="5" borderId="48" xfId="0" applyNumberFormat="1" applyFont="1" applyFill="1" applyBorder="1" applyAlignment="1">
      <alignment horizontal="center" vertical="center" shrinkToFit="1"/>
    </xf>
    <xf numFmtId="38" fontId="36" fillId="5" borderId="28" xfId="0" applyNumberFormat="1" applyFont="1" applyFill="1" applyBorder="1" applyAlignment="1">
      <alignment horizontal="center" vertical="center" shrinkToFit="1"/>
    </xf>
    <xf numFmtId="38" fontId="49" fillId="5" borderId="55" xfId="1" applyFont="1" applyFill="1" applyBorder="1" applyAlignment="1">
      <alignment horizontal="right" vertical="center" wrapText="1"/>
    </xf>
    <xf numFmtId="38" fontId="49" fillId="5" borderId="1" xfId="1" applyFont="1" applyFill="1" applyBorder="1" applyAlignment="1">
      <alignment horizontal="right" vertical="center" wrapText="1"/>
    </xf>
    <xf numFmtId="0" fontId="37" fillId="5" borderId="48" xfId="0" applyFont="1" applyFill="1" applyBorder="1" applyAlignment="1">
      <alignment horizontal="center" vertical="center" shrinkToFit="1"/>
    </xf>
    <xf numFmtId="0" fontId="37" fillId="5" borderId="28" xfId="0" applyFont="1" applyFill="1" applyBorder="1" applyAlignment="1">
      <alignment horizontal="center" vertical="center" shrinkToFit="1"/>
    </xf>
    <xf numFmtId="38" fontId="36" fillId="4" borderId="48" xfId="0" applyNumberFormat="1" applyFont="1" applyFill="1" applyBorder="1" applyAlignment="1">
      <alignment horizontal="center" vertical="center" shrinkToFit="1"/>
    </xf>
    <xf numFmtId="38" fontId="36" fillId="4" borderId="28" xfId="0" applyNumberFormat="1" applyFont="1" applyFill="1" applyBorder="1" applyAlignment="1">
      <alignment horizontal="center" vertical="center" shrinkToFit="1"/>
    </xf>
    <xf numFmtId="38" fontId="36" fillId="4" borderId="27" xfId="0" applyNumberFormat="1" applyFont="1" applyFill="1" applyBorder="1" applyAlignment="1">
      <alignment horizontal="center" vertical="center" shrinkToFit="1"/>
    </xf>
    <xf numFmtId="0" fontId="43" fillId="5" borderId="14" xfId="0" applyFont="1" applyFill="1" applyBorder="1" applyAlignment="1">
      <alignment horizontal="center" vertical="center" wrapText="1"/>
    </xf>
    <xf numFmtId="0" fontId="43" fillId="5" borderId="57" xfId="0" applyFont="1" applyFill="1" applyBorder="1" applyAlignment="1">
      <alignment horizontal="center" vertical="center" wrapText="1"/>
    </xf>
    <xf numFmtId="0" fontId="43" fillId="4" borderId="14" xfId="0" applyFont="1" applyFill="1" applyBorder="1" applyAlignment="1">
      <alignment horizontal="center" vertical="center" wrapText="1"/>
    </xf>
    <xf numFmtId="0" fontId="43" fillId="4" borderId="57" xfId="0" applyFont="1" applyFill="1" applyBorder="1" applyAlignment="1">
      <alignment horizontal="center" vertical="center" wrapText="1"/>
    </xf>
    <xf numFmtId="38" fontId="36" fillId="4" borderId="27" xfId="1" applyFont="1" applyFill="1" applyBorder="1" applyAlignment="1">
      <alignment horizontal="center" vertical="center" shrinkToFit="1"/>
    </xf>
    <xf numFmtId="38" fontId="36" fillId="4" borderId="48" xfId="1" applyFont="1" applyFill="1" applyBorder="1" applyAlignment="1">
      <alignment horizontal="center" vertical="center" shrinkToFit="1"/>
    </xf>
    <xf numFmtId="38" fontId="36" fillId="4" borderId="28" xfId="1" applyFont="1" applyFill="1" applyBorder="1" applyAlignment="1">
      <alignment horizontal="center" vertical="center" shrinkToFit="1"/>
    </xf>
    <xf numFmtId="38" fontId="36" fillId="5" borderId="27" xfId="1" applyFont="1" applyFill="1" applyBorder="1" applyAlignment="1">
      <alignment horizontal="center" vertical="center" shrinkToFit="1"/>
    </xf>
    <xf numFmtId="0" fontId="37" fillId="4" borderId="48" xfId="0" applyFont="1" applyFill="1" applyBorder="1" applyAlignment="1">
      <alignment horizontal="center" vertical="center" shrinkToFit="1"/>
    </xf>
    <xf numFmtId="0" fontId="37" fillId="4" borderId="28" xfId="0" applyFont="1" applyFill="1" applyBorder="1" applyAlignment="1">
      <alignment horizontal="center" vertical="center" shrinkToFit="1"/>
    </xf>
    <xf numFmtId="0" fontId="36" fillId="5" borderId="48" xfId="0" applyFont="1" applyFill="1" applyBorder="1" applyAlignment="1">
      <alignment horizontal="center" vertical="center" shrinkToFit="1"/>
    </xf>
    <xf numFmtId="0" fontId="36" fillId="5" borderId="28" xfId="0" applyFont="1" applyFill="1" applyBorder="1" applyAlignment="1">
      <alignment horizontal="center" vertical="center" shrinkToFit="1"/>
    </xf>
    <xf numFmtId="0" fontId="60" fillId="5" borderId="14" xfId="0" applyFont="1" applyFill="1" applyBorder="1" applyAlignment="1">
      <alignment horizontal="center" vertical="center" wrapText="1"/>
    </xf>
    <xf numFmtId="0" fontId="60" fillId="5" borderId="57" xfId="0" applyFont="1" applyFill="1" applyBorder="1" applyAlignment="1">
      <alignment horizontal="center" vertical="center" wrapText="1"/>
    </xf>
    <xf numFmtId="0" fontId="60" fillId="5" borderId="64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1" fillId="0" borderId="31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28" fillId="2" borderId="38" xfId="0" applyFont="1" applyFill="1" applyBorder="1" applyAlignment="1">
      <alignment horizontal="center" vertical="center" wrapText="1"/>
    </xf>
    <xf numFmtId="0" fontId="28" fillId="2" borderId="42" xfId="0" applyFont="1" applyFill="1" applyBorder="1" applyAlignment="1">
      <alignment horizontal="center" vertical="center" wrapText="1"/>
    </xf>
    <xf numFmtId="0" fontId="28" fillId="2" borderId="43" xfId="0" applyFont="1" applyFill="1" applyBorder="1" applyAlignment="1">
      <alignment horizontal="center" vertical="center" wrapText="1"/>
    </xf>
    <xf numFmtId="0" fontId="29" fillId="2" borderId="38" xfId="0" applyFont="1" applyFill="1" applyBorder="1" applyAlignment="1">
      <alignment horizontal="center" vertical="center" wrapText="1"/>
    </xf>
    <xf numFmtId="0" fontId="29" fillId="2" borderId="43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58" fontId="48" fillId="0" borderId="0" xfId="0" applyNumberFormat="1" applyFont="1" applyAlignment="1">
      <alignment horizontal="center" vertical="center" wrapText="1"/>
    </xf>
    <xf numFmtId="0" fontId="27" fillId="2" borderId="44" xfId="0" applyFont="1" applyFill="1" applyBorder="1" applyAlignment="1">
      <alignment horizontal="center" vertical="center" wrapText="1"/>
    </xf>
    <xf numFmtId="0" fontId="27" fillId="2" borderId="45" xfId="0" applyFont="1" applyFill="1" applyBorder="1" applyAlignment="1">
      <alignment horizontal="center" vertical="center" wrapText="1"/>
    </xf>
    <xf numFmtId="0" fontId="24" fillId="2" borderId="49" xfId="0" applyFont="1" applyFill="1" applyBorder="1" applyAlignment="1">
      <alignment horizontal="center" vertical="center" wrapText="1"/>
    </xf>
    <xf numFmtId="0" fontId="24" fillId="2" borderId="50" xfId="0" applyFont="1" applyFill="1" applyBorder="1" applyAlignment="1">
      <alignment horizontal="center" vertical="center" wrapText="1"/>
    </xf>
    <xf numFmtId="0" fontId="24" fillId="2" borderId="56" xfId="0" applyFont="1" applyFill="1" applyBorder="1" applyAlignment="1">
      <alignment horizontal="center" vertical="center" wrapText="1"/>
    </xf>
    <xf numFmtId="0" fontId="24" fillId="2" borderId="52" xfId="0" applyFont="1" applyFill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 vertical="center" wrapText="1"/>
    </xf>
    <xf numFmtId="0" fontId="24" fillId="2" borderId="53" xfId="0" applyFont="1" applyFill="1" applyBorder="1" applyAlignment="1">
      <alignment horizontal="center" vertical="center" wrapText="1"/>
    </xf>
  </cellXfs>
  <cellStyles count="3">
    <cellStyle name="桁区切り" xfId="1" builtinId="6"/>
    <cellStyle name="通貨" xfId="2" builtinId="7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2</xdr:colOff>
      <xdr:row>26</xdr:row>
      <xdr:rowOff>23812</xdr:rowOff>
    </xdr:from>
    <xdr:to>
      <xdr:col>36</xdr:col>
      <xdr:colOff>248426</xdr:colOff>
      <xdr:row>27</xdr:row>
      <xdr:rowOff>170497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140E4DE-489D-4F2A-962E-51E1A08B1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4627" y="5148262"/>
          <a:ext cx="448449" cy="337185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23</xdr:row>
      <xdr:rowOff>124882</xdr:rowOff>
    </xdr:from>
    <xdr:to>
      <xdr:col>50</xdr:col>
      <xdr:colOff>0</xdr:colOff>
      <xdr:row>27</xdr:row>
      <xdr:rowOff>126999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A624D8F-DEB3-4B96-ABE2-85DB2122B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9700" y="4677832"/>
          <a:ext cx="1000125" cy="7641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D68C9-69D2-491F-83E4-7B5B01BF7218}">
  <dimension ref="A1:BK37"/>
  <sheetViews>
    <sheetView showGridLines="0" tabSelected="1" view="pageBreakPreview" zoomScale="80" zoomScaleNormal="80" zoomScaleSheetLayoutView="80" workbookViewId="0">
      <selection activeCell="M15" sqref="M15"/>
    </sheetView>
  </sheetViews>
  <sheetFormatPr defaultColWidth="2.453125" defaultRowHeight="15" customHeight="1"/>
  <cols>
    <col min="1" max="8" width="2.6328125" customWidth="1"/>
    <col min="9" max="9" width="1.26953125" customWidth="1"/>
    <col min="10" max="23" width="2.6328125" customWidth="1"/>
    <col min="24" max="24" width="3.08984375" customWidth="1"/>
    <col min="25" max="25" width="74.36328125" hidden="1" customWidth="1"/>
    <col min="26" max="26" width="1.453125" customWidth="1"/>
    <col min="27" max="28" width="2.6328125" customWidth="1"/>
    <col min="29" max="29" width="1" customWidth="1"/>
    <col min="30" max="36" width="2.6328125" customWidth="1"/>
    <col min="37" max="37" width="6.6328125" customWidth="1"/>
    <col min="38" max="38" width="5.26953125" customWidth="1"/>
    <col min="39" max="52" width="2.6328125" customWidth="1"/>
    <col min="53" max="53" width="3.453125" customWidth="1"/>
    <col min="54" max="54" width="2.6328125" hidden="1" customWidth="1"/>
  </cols>
  <sheetData>
    <row r="1" spans="1:58" ht="1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109">
        <f ca="1">TODAY()</f>
        <v>46283</v>
      </c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"/>
      <c r="BD1" s="1"/>
      <c r="BE1" s="1"/>
      <c r="BF1" s="1"/>
    </row>
    <row r="2" spans="1:58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"/>
      <c r="BD2" s="1"/>
      <c r="BE2" s="1"/>
      <c r="BF2" s="1"/>
    </row>
    <row r="3" spans="1:58" ht="15" customHeight="1">
      <c r="A3" s="3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98" t="s">
        <v>59</v>
      </c>
      <c r="AD3" s="98"/>
      <c r="AE3" s="98"/>
      <c r="AF3" s="98"/>
      <c r="AG3" s="3"/>
      <c r="AH3" s="3"/>
      <c r="AI3" s="3"/>
      <c r="AJ3" s="3"/>
      <c r="AK3" s="3"/>
      <c r="AL3" s="3"/>
      <c r="AM3" s="3"/>
      <c r="AN3" s="3"/>
      <c r="AO3" s="3"/>
      <c r="AP3" s="3"/>
      <c r="AQ3" s="110" t="s">
        <v>18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"/>
      <c r="BD3" s="1"/>
      <c r="BE3" s="1"/>
      <c r="BF3" s="1"/>
    </row>
    <row r="4" spans="1:58" ht="15" customHeight="1">
      <c r="A4" s="4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98"/>
      <c r="AD4" s="98"/>
      <c r="AE4" s="98"/>
      <c r="AF4" s="98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4"/>
      <c r="AW4" s="4"/>
      <c r="AX4" s="4"/>
      <c r="AY4" s="4"/>
      <c r="AZ4" s="4"/>
      <c r="BA4" s="4"/>
      <c r="BB4" s="4"/>
      <c r="BC4" s="1"/>
      <c r="BD4" s="1"/>
      <c r="BE4" s="1"/>
      <c r="BF4" s="1"/>
    </row>
    <row r="5" spans="1:58" ht="15" customHeight="1">
      <c r="A5" s="4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98"/>
      <c r="AD5" s="98"/>
      <c r="AE5" s="98"/>
      <c r="AF5" s="98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4"/>
      <c r="AW5" s="4"/>
      <c r="AX5" s="4"/>
      <c r="AY5" s="4"/>
      <c r="AZ5" s="4"/>
      <c r="BA5" s="4"/>
      <c r="BB5" s="4"/>
      <c r="BC5" s="1"/>
      <c r="BD5" s="1"/>
      <c r="BE5" s="1"/>
      <c r="BF5" s="1"/>
    </row>
    <row r="6" spans="1:58" ht="20.149999999999999" customHeight="1">
      <c r="A6" s="3"/>
      <c r="B6" s="116" t="s">
        <v>14</v>
      </c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3"/>
      <c r="BC6" s="1"/>
      <c r="BD6" s="1"/>
      <c r="BE6" s="1"/>
      <c r="BF6" s="1"/>
    </row>
    <row r="7" spans="1:58" ht="15" customHeight="1">
      <c r="A7" s="4"/>
      <c r="B7" s="3" t="s">
        <v>25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4"/>
      <c r="X7" s="4"/>
      <c r="Y7" s="4"/>
      <c r="Z7" s="4"/>
      <c r="AA7" s="3"/>
      <c r="AB7" s="3"/>
      <c r="AC7" s="3"/>
      <c r="AD7" s="3"/>
      <c r="AE7" s="3"/>
      <c r="AF7" s="3"/>
      <c r="AG7" s="3"/>
      <c r="AH7" s="3"/>
      <c r="AI7" s="3"/>
      <c r="AJ7" s="3"/>
      <c r="AK7" s="123" t="s">
        <v>49</v>
      </c>
      <c r="AL7" s="123"/>
      <c r="AM7" s="123"/>
      <c r="AN7" s="123"/>
      <c r="AO7" s="123"/>
      <c r="AP7" s="123"/>
      <c r="AQ7" s="123"/>
      <c r="AR7" s="123"/>
      <c r="AS7" s="123"/>
      <c r="AT7" s="123"/>
      <c r="AU7" s="123"/>
      <c r="AV7" s="123"/>
      <c r="AW7" s="123"/>
      <c r="AX7" s="123"/>
      <c r="AY7" s="123"/>
      <c r="AZ7" s="123"/>
      <c r="BA7" s="123"/>
      <c r="BB7" s="123"/>
      <c r="BC7" s="1"/>
      <c r="BD7" s="1"/>
      <c r="BE7" s="1"/>
      <c r="BF7" s="1"/>
    </row>
    <row r="8" spans="1:58" ht="1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123"/>
      <c r="AL8" s="123"/>
      <c r="AM8" s="123"/>
      <c r="AN8" s="123"/>
      <c r="AO8" s="123"/>
      <c r="AP8" s="123"/>
      <c r="AQ8" s="123"/>
      <c r="AR8" s="123"/>
      <c r="AS8" s="123"/>
      <c r="AT8" s="123"/>
      <c r="AU8" s="123"/>
      <c r="AV8" s="123"/>
      <c r="AW8" s="123"/>
      <c r="AX8" s="123"/>
      <c r="AY8" s="123"/>
      <c r="AZ8" s="123"/>
      <c r="BA8" s="123"/>
      <c r="BB8" s="123"/>
      <c r="BC8" s="1"/>
      <c r="BD8" s="1"/>
      <c r="BE8" s="1"/>
      <c r="BF8" s="1"/>
    </row>
    <row r="9" spans="1:58" ht="15" customHeight="1">
      <c r="A9" s="3"/>
      <c r="B9" s="111" t="s">
        <v>4</v>
      </c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3"/>
      <c r="BC9" s="1"/>
      <c r="BD9" s="1"/>
      <c r="BE9" s="1"/>
      <c r="BF9" s="1"/>
    </row>
    <row r="10" spans="1:58" ht="15" customHeight="1">
      <c r="A10" s="3"/>
      <c r="B10" s="111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3"/>
      <c r="BC10" s="1"/>
      <c r="BD10" s="1"/>
      <c r="BE10" s="1"/>
      <c r="BF10" s="1"/>
    </row>
    <row r="11" spans="1:58" ht="15" customHeight="1">
      <c r="A11" s="3"/>
      <c r="B11" s="111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3"/>
      <c r="BC11" s="1"/>
      <c r="BD11" s="1"/>
      <c r="BE11" s="1"/>
      <c r="BF11" s="1"/>
    </row>
    <row r="12" spans="1:58" ht="15" customHeight="1">
      <c r="A12" s="3"/>
      <c r="B12" s="111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3"/>
      <c r="BC12" s="1"/>
      <c r="BD12" s="1"/>
      <c r="BE12" s="1"/>
      <c r="BF12" s="1"/>
    </row>
    <row r="13" spans="1:58" ht="20.149999999999999" customHeight="1">
      <c r="A13" s="3"/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3"/>
      <c r="BC13" s="1"/>
      <c r="BD13" s="1"/>
      <c r="BE13" s="1"/>
      <c r="BF13" s="1"/>
    </row>
    <row r="14" spans="1:58" ht="20.149999999999999" customHeight="1">
      <c r="A14" s="3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3"/>
      <c r="BC14" s="1"/>
      <c r="BD14" s="1"/>
      <c r="BE14" s="1"/>
      <c r="BF14" s="1"/>
    </row>
    <row r="15" spans="1:58" ht="1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1"/>
      <c r="BD15" s="1"/>
      <c r="BE15" s="1"/>
      <c r="BF15" s="1"/>
    </row>
    <row r="16" spans="1:58" ht="15" customHeight="1">
      <c r="A16" s="3"/>
      <c r="B16" s="3"/>
      <c r="C16" s="3"/>
      <c r="D16" s="3"/>
      <c r="E16" s="3"/>
      <c r="F16" s="3"/>
      <c r="G16" s="3"/>
      <c r="H16" s="3"/>
      <c r="I16" s="3"/>
      <c r="J16" s="6"/>
      <c r="K16" s="117" t="s">
        <v>16</v>
      </c>
      <c r="L16" s="117"/>
      <c r="M16" s="117"/>
      <c r="N16" s="117"/>
      <c r="O16" s="117"/>
      <c r="P16" s="117"/>
      <c r="Q16" s="117"/>
      <c r="R16" s="117"/>
      <c r="S16" s="117"/>
      <c r="T16" s="54"/>
      <c r="U16" s="119">
        <f>AL19*1.1</f>
        <v>0</v>
      </c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4" t="s">
        <v>17</v>
      </c>
      <c r="AN16" s="114"/>
      <c r="AO16" s="114"/>
      <c r="AP16" s="114"/>
      <c r="AQ16" s="114"/>
      <c r="AR16" s="114"/>
      <c r="AS16" s="53"/>
      <c r="AT16" s="53"/>
      <c r="AU16" s="3"/>
      <c r="AV16" s="3"/>
      <c r="AW16" s="3"/>
      <c r="AX16" s="3"/>
      <c r="AY16" s="3"/>
      <c r="AZ16" s="3"/>
      <c r="BA16" s="3"/>
      <c r="BB16" s="3"/>
      <c r="BC16" s="1"/>
      <c r="BD16" s="1"/>
      <c r="BE16" s="1"/>
      <c r="BF16" s="1"/>
    </row>
    <row r="17" spans="1:63" ht="15" customHeight="1">
      <c r="A17" s="3"/>
      <c r="B17" s="3"/>
      <c r="C17" s="3"/>
      <c r="D17" s="3"/>
      <c r="E17" s="3"/>
      <c r="F17" s="3"/>
      <c r="G17" s="3"/>
      <c r="H17" s="3"/>
      <c r="I17" s="3"/>
      <c r="J17" s="6"/>
      <c r="K17" s="117"/>
      <c r="L17" s="117"/>
      <c r="M17" s="117"/>
      <c r="N17" s="117"/>
      <c r="O17" s="117"/>
      <c r="P17" s="117"/>
      <c r="Q17" s="117"/>
      <c r="R17" s="117"/>
      <c r="S17" s="117"/>
      <c r="T17" s="54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4"/>
      <c r="AN17" s="114"/>
      <c r="AO17" s="114"/>
      <c r="AP17" s="114"/>
      <c r="AQ17" s="114"/>
      <c r="AR17" s="114"/>
      <c r="AS17" s="53"/>
      <c r="AT17" s="53"/>
      <c r="AU17" s="3"/>
      <c r="AV17" s="3"/>
      <c r="AW17" s="3"/>
      <c r="AX17" s="3"/>
      <c r="AY17" s="3"/>
      <c r="AZ17" s="3"/>
      <c r="BA17" s="3"/>
      <c r="BB17" s="3"/>
      <c r="BC17" s="1"/>
      <c r="BD17" s="1"/>
      <c r="BE17" s="1"/>
      <c r="BF17" s="1"/>
    </row>
    <row r="18" spans="1:63" ht="15" customHeight="1">
      <c r="A18" s="3"/>
      <c r="B18" s="3"/>
      <c r="C18" s="3"/>
      <c r="D18" s="3"/>
      <c r="E18" s="3"/>
      <c r="F18" s="3"/>
      <c r="G18" s="3"/>
      <c r="H18" s="3"/>
      <c r="I18" s="3"/>
      <c r="J18" s="7"/>
      <c r="K18" s="118"/>
      <c r="L18" s="118"/>
      <c r="M18" s="118"/>
      <c r="N18" s="118"/>
      <c r="O18" s="118"/>
      <c r="P18" s="118"/>
      <c r="Q18" s="118"/>
      <c r="R18" s="118"/>
      <c r="S18" s="118"/>
      <c r="T18" s="55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15"/>
      <c r="AN18" s="115"/>
      <c r="AO18" s="115"/>
      <c r="AP18" s="115"/>
      <c r="AQ18" s="115"/>
      <c r="AR18" s="115"/>
      <c r="AS18" s="53"/>
      <c r="AT18" s="53"/>
      <c r="AU18" s="3"/>
      <c r="AV18" s="3"/>
      <c r="AW18" s="3"/>
      <c r="AX18" s="3"/>
      <c r="AY18" s="3"/>
      <c r="AZ18" s="3"/>
      <c r="BA18" s="3"/>
      <c r="BB18" s="3"/>
      <c r="BC18" s="1"/>
      <c r="BD18" s="1"/>
      <c r="BE18" s="1"/>
      <c r="BF18" s="1"/>
    </row>
    <row r="19" spans="1:63" ht="1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56"/>
      <c r="AA19" s="56"/>
      <c r="AB19" s="56"/>
      <c r="AC19" s="56"/>
      <c r="AD19" s="56"/>
      <c r="AE19" s="56"/>
      <c r="AF19" s="128" t="s">
        <v>50</v>
      </c>
      <c r="AG19" s="128"/>
      <c r="AH19" s="128"/>
      <c r="AI19" s="128"/>
      <c r="AJ19" s="128"/>
      <c r="AK19" s="128"/>
      <c r="AL19" s="126">
        <f>工事内訳書!AT20</f>
        <v>0</v>
      </c>
      <c r="AM19" s="126"/>
      <c r="AN19" s="126"/>
      <c r="AO19" s="126"/>
      <c r="AP19" s="126"/>
      <c r="AQ19" s="126"/>
      <c r="AR19" s="126"/>
      <c r="AS19" s="126"/>
      <c r="AT19" s="126"/>
      <c r="AU19" s="102" t="s">
        <v>40</v>
      </c>
      <c r="AV19" s="102"/>
      <c r="AW19" s="3"/>
      <c r="AX19" s="3"/>
      <c r="AY19" s="3"/>
      <c r="AZ19" s="3"/>
      <c r="BA19" s="3"/>
      <c r="BB19" s="3"/>
      <c r="BC19" s="1"/>
      <c r="BD19" s="1"/>
      <c r="BE19" s="1"/>
      <c r="BF19" s="1"/>
    </row>
    <row r="20" spans="1:63" ht="1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57"/>
      <c r="AA20" s="57"/>
      <c r="AB20" s="57"/>
      <c r="AC20" s="57"/>
      <c r="AD20" s="57"/>
      <c r="AE20" s="57"/>
      <c r="AF20" s="129"/>
      <c r="AG20" s="129"/>
      <c r="AH20" s="129"/>
      <c r="AI20" s="129"/>
      <c r="AJ20" s="129"/>
      <c r="AK20" s="129"/>
      <c r="AL20" s="127"/>
      <c r="AM20" s="127"/>
      <c r="AN20" s="127"/>
      <c r="AO20" s="127"/>
      <c r="AP20" s="127"/>
      <c r="AQ20" s="127"/>
      <c r="AR20" s="127"/>
      <c r="AS20" s="127"/>
      <c r="AT20" s="127"/>
      <c r="AU20" s="132"/>
      <c r="AV20" s="132"/>
      <c r="AW20" s="3"/>
      <c r="AX20" s="3"/>
      <c r="AY20" s="3"/>
      <c r="AZ20" s="3"/>
      <c r="BA20" s="3"/>
      <c r="BB20" s="3"/>
      <c r="BC20" s="1"/>
      <c r="BD20" s="1"/>
      <c r="BE20" s="1"/>
      <c r="BF20" s="1"/>
      <c r="BK20" s="52"/>
    </row>
    <row r="21" spans="1:63" ht="1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57"/>
      <c r="AA21" s="57"/>
      <c r="AB21" s="57"/>
      <c r="AC21" s="57"/>
      <c r="AD21" s="57"/>
      <c r="AE21" s="57"/>
      <c r="AF21" s="130" t="s">
        <v>51</v>
      </c>
      <c r="AG21" s="130"/>
      <c r="AH21" s="130"/>
      <c r="AI21" s="130"/>
      <c r="AJ21" s="130"/>
      <c r="AK21" s="130"/>
      <c r="AL21" s="130"/>
      <c r="AM21" s="124">
        <f>AL19*0.1</f>
        <v>0</v>
      </c>
      <c r="AN21" s="124"/>
      <c r="AO21" s="124"/>
      <c r="AP21" s="124"/>
      <c r="AQ21" s="124"/>
      <c r="AR21" s="124"/>
      <c r="AS21" s="124"/>
      <c r="AT21" s="124"/>
      <c r="AU21" s="133" t="s">
        <v>40</v>
      </c>
      <c r="AV21" s="133"/>
      <c r="AW21" s="3"/>
      <c r="AX21" s="3"/>
      <c r="AY21" s="3"/>
      <c r="AZ21" s="3"/>
      <c r="BA21" s="3"/>
      <c r="BB21" s="3"/>
      <c r="BC21" s="1"/>
      <c r="BD21" s="1"/>
      <c r="BE21" s="1"/>
      <c r="BF21" s="1"/>
    </row>
    <row r="22" spans="1:63" ht="1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57"/>
      <c r="AA22" s="57"/>
      <c r="AB22" s="57"/>
      <c r="AC22" s="57"/>
      <c r="AD22" s="57"/>
      <c r="AE22" s="57"/>
      <c r="AF22" s="131"/>
      <c r="AG22" s="131"/>
      <c r="AH22" s="131"/>
      <c r="AI22" s="131"/>
      <c r="AJ22" s="131"/>
      <c r="AK22" s="131"/>
      <c r="AL22" s="131"/>
      <c r="AM22" s="125"/>
      <c r="AN22" s="125"/>
      <c r="AO22" s="125"/>
      <c r="AP22" s="125"/>
      <c r="AQ22" s="125"/>
      <c r="AR22" s="125"/>
      <c r="AS22" s="125"/>
      <c r="AT22" s="125"/>
      <c r="AU22" s="132"/>
      <c r="AV22" s="132"/>
      <c r="AW22" s="3"/>
      <c r="AX22" s="3"/>
      <c r="AY22" s="3"/>
      <c r="AZ22" s="3"/>
      <c r="BA22" s="3"/>
      <c r="BB22" s="3"/>
      <c r="BC22" s="1"/>
      <c r="BD22" s="1"/>
      <c r="BE22" s="1"/>
      <c r="BF22" s="1"/>
    </row>
    <row r="23" spans="1:63" ht="15" customHeight="1">
      <c r="A23" s="3"/>
      <c r="B23" s="3"/>
      <c r="C23" s="3"/>
      <c r="D23" s="3"/>
      <c r="E23" s="3"/>
      <c r="F23" s="3"/>
      <c r="G23" s="3"/>
      <c r="H23" s="3"/>
      <c r="I23" s="3"/>
      <c r="J23" s="8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1"/>
      <c r="BD23" s="1"/>
      <c r="BE23" s="1"/>
      <c r="BF23" s="1"/>
    </row>
    <row r="24" spans="1:63" ht="15" customHeight="1">
      <c r="A24" s="3"/>
      <c r="B24" s="3"/>
      <c r="C24" s="3"/>
      <c r="D24" s="3"/>
      <c r="E24" s="3"/>
      <c r="F24" s="3"/>
      <c r="G24" s="3"/>
      <c r="H24" s="3"/>
      <c r="I24" s="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1"/>
      <c r="BD24" s="1"/>
      <c r="BE24" s="1"/>
      <c r="BF24" s="1"/>
    </row>
    <row r="25" spans="1:63" ht="1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1"/>
      <c r="BD25" s="1"/>
      <c r="BE25" s="1"/>
      <c r="BF25" s="1"/>
    </row>
    <row r="26" spans="1:63" ht="15" customHeight="1">
      <c r="A26" s="3"/>
      <c r="B26" s="3"/>
      <c r="C26" s="3"/>
      <c r="D26" s="3"/>
      <c r="E26" s="3"/>
      <c r="F26" s="3"/>
      <c r="G26" s="3"/>
      <c r="H26" s="3"/>
      <c r="I26" s="3"/>
      <c r="J26" s="33" t="s">
        <v>42</v>
      </c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1"/>
      <c r="BD26" s="1"/>
      <c r="BE26" s="1"/>
      <c r="BF26" s="1"/>
    </row>
    <row r="27" spans="1:63" ht="15" customHeight="1">
      <c r="A27" s="3"/>
      <c r="B27" s="3"/>
      <c r="C27" s="100" t="s">
        <v>5</v>
      </c>
      <c r="D27" s="100"/>
      <c r="E27" s="100"/>
      <c r="F27" s="100"/>
      <c r="G27" s="100"/>
      <c r="H27" s="100"/>
      <c r="I27" s="100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3"/>
      <c r="AF27" s="9"/>
      <c r="AG27" s="98" t="s">
        <v>26</v>
      </c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3"/>
      <c r="BA27" s="3"/>
      <c r="BB27" s="3"/>
      <c r="BC27" s="1"/>
      <c r="BD27" s="1"/>
      <c r="BE27" s="1"/>
      <c r="BF27" s="1"/>
    </row>
    <row r="28" spans="1:63" ht="15" customHeight="1">
      <c r="A28" s="3"/>
      <c r="B28" s="3"/>
      <c r="C28" s="100"/>
      <c r="D28" s="100"/>
      <c r="E28" s="100"/>
      <c r="F28" s="100"/>
      <c r="G28" s="100"/>
      <c r="H28" s="100"/>
      <c r="I28" s="100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3"/>
      <c r="AF28" s="10"/>
      <c r="AG28" s="99"/>
      <c r="AH28" s="99"/>
      <c r="AI28" s="99"/>
      <c r="AJ28" s="99"/>
      <c r="AK28" s="99"/>
      <c r="AL28" s="99"/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11"/>
      <c r="BA28" s="3"/>
      <c r="BB28" s="3"/>
      <c r="BC28" s="1"/>
      <c r="BD28" s="1"/>
      <c r="BE28" s="1"/>
      <c r="BF28" s="1"/>
    </row>
    <row r="29" spans="1:63" ht="15" customHeight="1">
      <c r="A29" s="3"/>
      <c r="B29" s="3"/>
      <c r="C29" s="100" t="s">
        <v>6</v>
      </c>
      <c r="D29" s="100"/>
      <c r="E29" s="100"/>
      <c r="F29" s="100"/>
      <c r="G29" s="100"/>
      <c r="H29" s="100"/>
      <c r="I29" s="100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3"/>
      <c r="AF29" s="12"/>
      <c r="AG29" s="103" t="s">
        <v>19</v>
      </c>
      <c r="AH29" s="103"/>
      <c r="AI29" s="103"/>
      <c r="AJ29" s="103"/>
      <c r="AK29" s="103"/>
      <c r="AL29" s="103"/>
      <c r="AM29" s="105" t="s">
        <v>20</v>
      </c>
      <c r="AN29" s="105"/>
      <c r="AO29" s="105"/>
      <c r="AP29" s="105"/>
      <c r="AQ29" s="105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3"/>
      <c r="BC29" s="1"/>
      <c r="BD29" s="1"/>
      <c r="BE29" s="1"/>
      <c r="BF29" s="1"/>
    </row>
    <row r="30" spans="1:63" ht="15" customHeight="1">
      <c r="A30" s="3"/>
      <c r="B30" s="3"/>
      <c r="C30" s="100"/>
      <c r="D30" s="100"/>
      <c r="E30" s="100"/>
      <c r="F30" s="100"/>
      <c r="G30" s="100"/>
      <c r="H30" s="100"/>
      <c r="I30" s="100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3"/>
      <c r="AF30" s="4"/>
      <c r="AG30" s="104"/>
      <c r="AH30" s="104"/>
      <c r="AI30" s="104"/>
      <c r="AJ30" s="104"/>
      <c r="AK30" s="104"/>
      <c r="AL30" s="104"/>
      <c r="AM30" s="105"/>
      <c r="AN30" s="105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3"/>
      <c r="BC30" s="1"/>
      <c r="BD30" s="1"/>
      <c r="BE30" s="1"/>
      <c r="BF30" s="1"/>
    </row>
    <row r="31" spans="1:63" ht="15" customHeight="1">
      <c r="A31" s="3"/>
      <c r="B31" s="3"/>
      <c r="C31" s="100" t="s">
        <v>8</v>
      </c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3"/>
      <c r="AF31" s="106" t="s">
        <v>21</v>
      </c>
      <c r="AG31" s="106"/>
      <c r="AH31" s="106"/>
      <c r="AI31" s="106"/>
      <c r="AJ31" s="106"/>
      <c r="AK31" s="106"/>
      <c r="AL31" s="106"/>
      <c r="AM31" s="106"/>
      <c r="AN31" s="106"/>
      <c r="AO31" s="106"/>
      <c r="AP31" s="106" t="s">
        <v>22</v>
      </c>
      <c r="AQ31" s="106"/>
      <c r="AR31" s="106"/>
      <c r="AS31" s="106"/>
      <c r="AT31" s="106"/>
      <c r="AU31" s="106"/>
      <c r="AV31" s="106"/>
      <c r="AW31" s="106"/>
      <c r="AX31" s="106"/>
      <c r="AY31" s="106"/>
      <c r="AZ31" s="4"/>
      <c r="BA31" s="4"/>
      <c r="BB31" s="3"/>
      <c r="BC31" s="1"/>
      <c r="BD31" s="1"/>
      <c r="BE31" s="1"/>
      <c r="BF31" s="1"/>
    </row>
    <row r="32" spans="1:63" ht="15" customHeight="1">
      <c r="A32" s="3"/>
      <c r="B32" s="3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3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106"/>
      <c r="AX32" s="106"/>
      <c r="AY32" s="106"/>
      <c r="AZ32" s="4"/>
      <c r="BA32" s="4"/>
      <c r="BB32" s="3"/>
      <c r="BC32" s="1"/>
      <c r="BD32" s="1"/>
      <c r="BE32" s="1"/>
      <c r="BF32" s="1"/>
    </row>
    <row r="33" spans="1:58" ht="15" customHeight="1">
      <c r="A33" s="3"/>
      <c r="B33" s="3"/>
      <c r="C33" s="100" t="s">
        <v>7</v>
      </c>
      <c r="D33" s="100"/>
      <c r="E33" s="100"/>
      <c r="F33" s="100"/>
      <c r="G33" s="100"/>
      <c r="H33" s="100"/>
      <c r="I33" s="100"/>
      <c r="J33" s="100" t="s">
        <v>36</v>
      </c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3"/>
      <c r="AF33" s="101" t="s">
        <v>9</v>
      </c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2" t="s">
        <v>37</v>
      </c>
      <c r="AW33" s="102"/>
      <c r="AX33" s="102"/>
      <c r="AY33" s="102"/>
      <c r="AZ33" s="102"/>
      <c r="BA33" s="3"/>
      <c r="BB33" s="3"/>
      <c r="BC33" s="1"/>
      <c r="BD33" s="1"/>
      <c r="BE33" s="1"/>
      <c r="BF33" s="1"/>
    </row>
    <row r="34" spans="1:58" ht="15" customHeight="1">
      <c r="A34" s="3"/>
      <c r="B34" s="3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3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2"/>
      <c r="AW34" s="102"/>
      <c r="AX34" s="102"/>
      <c r="AY34" s="102"/>
      <c r="AZ34" s="102"/>
      <c r="BA34" s="3"/>
      <c r="BB34" s="3"/>
      <c r="BC34" s="1"/>
      <c r="BD34" s="1"/>
      <c r="BE34" s="1"/>
      <c r="BF34" s="1"/>
    </row>
    <row r="35" spans="1:58" ht="15" customHeight="1">
      <c r="B35" s="1"/>
      <c r="C35" s="1"/>
      <c r="D35" s="1"/>
      <c r="E35" s="1"/>
      <c r="F35" s="1"/>
      <c r="G35" s="1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 spans="1:58" ht="1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 spans="1:58" ht="1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</sheetData>
  <mergeCells count="32">
    <mergeCell ref="AM21:AT22"/>
    <mergeCell ref="AL19:AT20"/>
    <mergeCell ref="AF19:AK20"/>
    <mergeCell ref="AF21:AL22"/>
    <mergeCell ref="AU19:AV20"/>
    <mergeCell ref="AU21:AV22"/>
    <mergeCell ref="AQ1:BB2"/>
    <mergeCell ref="B9:BA12"/>
    <mergeCell ref="B13:BA13"/>
    <mergeCell ref="AM16:AR18"/>
    <mergeCell ref="AQ3:BB3"/>
    <mergeCell ref="B6:BA6"/>
    <mergeCell ref="K16:S18"/>
    <mergeCell ref="U16:AL18"/>
    <mergeCell ref="B3:AB5"/>
    <mergeCell ref="AK7:BB8"/>
    <mergeCell ref="AC3:AF5"/>
    <mergeCell ref="AG27:AY28"/>
    <mergeCell ref="C33:I34"/>
    <mergeCell ref="AF33:AU34"/>
    <mergeCell ref="AV33:AZ34"/>
    <mergeCell ref="C29:I30"/>
    <mergeCell ref="AG29:AL30"/>
    <mergeCell ref="AM29:BA30"/>
    <mergeCell ref="C31:I32"/>
    <mergeCell ref="AF31:AO32"/>
    <mergeCell ref="AP31:AY32"/>
    <mergeCell ref="J27:AD28"/>
    <mergeCell ref="J29:AD30"/>
    <mergeCell ref="J31:AD32"/>
    <mergeCell ref="J33:AD34"/>
    <mergeCell ref="C27:I28"/>
  </mergeCells>
  <phoneticPr fontId="45"/>
  <printOptions horizontalCentered="1"/>
  <pageMargins left="0.39370078740157483" right="0.39370078740157483" top="0.59055118110236227" bottom="0.59055118110236227" header="0.51181102362204722" footer="0.51181102362204722"/>
  <pageSetup paperSize="9" scale="97" orientation="landscape" r:id="rId1"/>
  <rowBreaks count="1" manualBreakCount="1">
    <brk id="35" max="5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26"/>
  <sheetViews>
    <sheetView showGridLines="0" view="pageBreakPreview" topLeftCell="A4" zoomScaleNormal="80" zoomScaleSheetLayoutView="100" workbookViewId="0">
      <selection activeCell="A25" sqref="A25:XFD26"/>
    </sheetView>
  </sheetViews>
  <sheetFormatPr defaultColWidth="2.453125" defaultRowHeight="15" customHeight="1"/>
  <cols>
    <col min="1" max="1" width="1" customWidth="1"/>
    <col min="2" max="43" width="2.6328125" customWidth="1"/>
    <col min="44" max="44" width="0.6328125" customWidth="1"/>
    <col min="45" max="51" width="2.6328125" customWidth="1"/>
    <col min="52" max="52" width="10.453125" customWidth="1"/>
    <col min="53" max="54" width="2.6328125" hidden="1" customWidth="1"/>
    <col min="55" max="55" width="2.6328125" customWidth="1"/>
    <col min="65" max="125" width="2.453125" customWidth="1"/>
  </cols>
  <sheetData>
    <row r="1" spans="1:59" ht="15" customHeight="1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4">
        <f ca="1">TODAY()</f>
        <v>46283</v>
      </c>
      <c r="AS1" s="135"/>
      <c r="AT1" s="135"/>
      <c r="AU1" s="135"/>
      <c r="AV1" s="135"/>
      <c r="AW1" s="135"/>
      <c r="AX1" s="135"/>
      <c r="AY1" s="135"/>
      <c r="AZ1" s="135"/>
      <c r="BA1" s="135"/>
      <c r="BB1" s="135"/>
      <c r="BC1" s="135"/>
      <c r="BD1" s="1"/>
      <c r="BE1" s="1"/>
      <c r="BF1" s="1"/>
      <c r="BG1" s="1"/>
    </row>
    <row r="2" spans="1:59" ht="15" customHeight="1">
      <c r="B2" s="14"/>
      <c r="C2" s="139" t="s">
        <v>15</v>
      </c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5"/>
      <c r="AS2" s="135"/>
      <c r="AT2" s="135"/>
      <c r="AU2" s="135"/>
      <c r="AV2" s="135"/>
      <c r="AW2" s="135"/>
      <c r="AX2" s="135"/>
      <c r="AY2" s="135"/>
      <c r="AZ2" s="135"/>
      <c r="BA2" s="135"/>
      <c r="BB2" s="135"/>
      <c r="BC2" s="135"/>
      <c r="BD2" s="1"/>
      <c r="BE2" s="1"/>
      <c r="BF2" s="1"/>
      <c r="BG2" s="1"/>
    </row>
    <row r="3" spans="1:59" ht="15" customHeight="1">
      <c r="B3" s="15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6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6"/>
      <c r="AP3" s="16"/>
      <c r="AQ3" s="16"/>
      <c r="AR3" s="135" t="s">
        <v>23</v>
      </c>
      <c r="AS3" s="135"/>
      <c r="AT3" s="135"/>
      <c r="AU3" s="135"/>
      <c r="AV3" s="135"/>
      <c r="AW3" s="135"/>
      <c r="AX3" s="135"/>
      <c r="AY3" s="135"/>
      <c r="AZ3" s="135"/>
      <c r="BA3" s="135"/>
      <c r="BB3" s="135"/>
      <c r="BC3" s="135"/>
      <c r="BD3" s="29"/>
      <c r="BE3" s="29"/>
      <c r="BF3" s="1"/>
      <c r="BG3" s="1"/>
    </row>
    <row r="4" spans="1:59" ht="15" customHeight="1">
      <c r="B4" s="138">
        <f>見積書!J27</f>
        <v>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7"/>
      <c r="BD4" s="29"/>
      <c r="BE4" s="29"/>
      <c r="BF4" s="1"/>
      <c r="BG4" s="1"/>
    </row>
    <row r="5" spans="1:59" ht="15" customHeight="1"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7"/>
      <c r="AX5" s="17"/>
      <c r="AY5" s="17"/>
      <c r="AZ5" s="17"/>
      <c r="BA5" s="17"/>
      <c r="BB5" s="17"/>
      <c r="BC5" s="17"/>
      <c r="BD5" s="29"/>
      <c r="BE5" s="29"/>
      <c r="BF5" s="1"/>
      <c r="BG5" s="1"/>
    </row>
    <row r="6" spans="1:59" ht="15" customHeight="1">
      <c r="B6" s="141" t="s">
        <v>13</v>
      </c>
      <c r="C6" s="136"/>
      <c r="D6" s="136" t="s">
        <v>10</v>
      </c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 t="s">
        <v>11</v>
      </c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 t="s">
        <v>12</v>
      </c>
      <c r="AC6" s="136"/>
      <c r="AD6" s="136"/>
      <c r="AE6" s="136"/>
      <c r="AF6" s="136"/>
      <c r="AG6" s="136" t="s">
        <v>0</v>
      </c>
      <c r="AH6" s="136"/>
      <c r="AI6" s="136"/>
      <c r="AJ6" s="136" t="s">
        <v>1</v>
      </c>
      <c r="AK6" s="136"/>
      <c r="AL6" s="136"/>
      <c r="AM6" s="136"/>
      <c r="AN6" s="136"/>
      <c r="AO6" s="136"/>
      <c r="AP6" s="136"/>
      <c r="AQ6" s="136"/>
      <c r="AR6" s="136"/>
      <c r="AS6" s="136"/>
      <c r="AT6" s="136" t="s">
        <v>2</v>
      </c>
      <c r="AU6" s="136"/>
      <c r="AV6" s="136"/>
      <c r="AW6" s="136"/>
      <c r="AX6" s="136"/>
      <c r="AY6" s="136"/>
      <c r="AZ6" s="136"/>
      <c r="BA6" s="136"/>
      <c r="BB6" s="136"/>
      <c r="BC6" s="137"/>
      <c r="BD6" s="29"/>
      <c r="BE6" s="29"/>
      <c r="BF6" s="1"/>
      <c r="BG6" s="1"/>
    </row>
    <row r="7" spans="1:59" ht="15" customHeight="1">
      <c r="A7" s="30"/>
      <c r="B7" s="141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  <c r="AW7" s="136"/>
      <c r="AX7" s="136"/>
      <c r="AY7" s="136"/>
      <c r="AZ7" s="136"/>
      <c r="BA7" s="136"/>
      <c r="BB7" s="136"/>
      <c r="BC7" s="137"/>
      <c r="BD7" s="29"/>
      <c r="BE7" s="29"/>
      <c r="BF7" s="1"/>
      <c r="BG7" s="1"/>
    </row>
    <row r="8" spans="1:59" ht="19.899999999999999" customHeight="1">
      <c r="A8" s="30"/>
      <c r="B8" s="144">
        <v>1</v>
      </c>
      <c r="C8" s="145"/>
      <c r="D8" s="144" t="s">
        <v>45</v>
      </c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45"/>
      <c r="P8" s="144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45"/>
      <c r="AB8" s="144">
        <v>1</v>
      </c>
      <c r="AC8" s="150"/>
      <c r="AD8" s="150"/>
      <c r="AE8" s="150"/>
      <c r="AF8" s="145"/>
      <c r="AG8" s="144" t="s">
        <v>35</v>
      </c>
      <c r="AH8" s="150"/>
      <c r="AI8" s="150"/>
      <c r="AJ8" s="151"/>
      <c r="AK8" s="152"/>
      <c r="AL8" s="152"/>
      <c r="AM8" s="152"/>
      <c r="AN8" s="152"/>
      <c r="AO8" s="152"/>
      <c r="AP8" s="152"/>
      <c r="AQ8" s="152"/>
      <c r="AR8" s="152"/>
      <c r="AS8" s="153"/>
      <c r="AT8" s="147">
        <f>内訳明細書!M15</f>
        <v>0</v>
      </c>
      <c r="AU8" s="148"/>
      <c r="AV8" s="148"/>
      <c r="AW8" s="148"/>
      <c r="AX8" s="148"/>
      <c r="AY8" s="148"/>
      <c r="AZ8" s="148"/>
      <c r="BA8" s="148"/>
      <c r="BB8" s="148"/>
      <c r="BC8" s="149"/>
      <c r="BD8" s="29"/>
      <c r="BE8" s="29"/>
      <c r="BF8" s="1"/>
      <c r="BG8" s="1"/>
    </row>
    <row r="9" spans="1:59" s="28" customFormat="1" ht="19.899999999999999" customHeight="1">
      <c r="A9" s="30"/>
      <c r="B9" s="142">
        <v>2</v>
      </c>
      <c r="C9" s="143"/>
      <c r="D9" s="142" t="s">
        <v>28</v>
      </c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3"/>
      <c r="P9" s="142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3"/>
      <c r="AB9" s="142">
        <v>1</v>
      </c>
      <c r="AC9" s="146"/>
      <c r="AD9" s="146"/>
      <c r="AE9" s="146"/>
      <c r="AF9" s="143"/>
      <c r="AG9" s="142" t="s">
        <v>35</v>
      </c>
      <c r="AH9" s="146"/>
      <c r="AI9" s="146"/>
      <c r="AJ9" s="164"/>
      <c r="AK9" s="165"/>
      <c r="AL9" s="165"/>
      <c r="AM9" s="165"/>
      <c r="AN9" s="165"/>
      <c r="AO9" s="165"/>
      <c r="AP9" s="165"/>
      <c r="AQ9" s="165"/>
      <c r="AR9" s="165"/>
      <c r="AS9" s="166"/>
      <c r="AT9" s="157">
        <f>内訳明細書!H21</f>
        <v>0</v>
      </c>
      <c r="AU9" s="158"/>
      <c r="AV9" s="158"/>
      <c r="AW9" s="158"/>
      <c r="AX9" s="158"/>
      <c r="AY9" s="158"/>
      <c r="AZ9" s="158"/>
      <c r="BA9" s="158"/>
      <c r="BB9" s="158"/>
      <c r="BC9" s="159"/>
      <c r="BD9" s="29"/>
      <c r="BE9" s="29"/>
      <c r="BF9" s="27"/>
      <c r="BG9" s="27"/>
    </row>
    <row r="10" spans="1:59" ht="19.899999999999999" customHeight="1">
      <c r="A10" s="30"/>
      <c r="B10" s="144">
        <v>3</v>
      </c>
      <c r="C10" s="145"/>
      <c r="D10" s="144" t="s">
        <v>44</v>
      </c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45"/>
      <c r="P10" s="144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45"/>
      <c r="AB10" s="144">
        <v>1</v>
      </c>
      <c r="AC10" s="150"/>
      <c r="AD10" s="150"/>
      <c r="AE10" s="150"/>
      <c r="AF10" s="145"/>
      <c r="AG10" s="144" t="s">
        <v>35</v>
      </c>
      <c r="AH10" s="150"/>
      <c r="AI10" s="145"/>
      <c r="AJ10" s="154"/>
      <c r="AK10" s="155"/>
      <c r="AL10" s="155"/>
      <c r="AM10" s="155"/>
      <c r="AN10" s="155"/>
      <c r="AO10" s="155"/>
      <c r="AP10" s="155"/>
      <c r="AQ10" s="155"/>
      <c r="AR10" s="155"/>
      <c r="AS10" s="156"/>
      <c r="AT10" s="147">
        <f>内訳明細書!M16</f>
        <v>0</v>
      </c>
      <c r="AU10" s="148"/>
      <c r="AV10" s="148"/>
      <c r="AW10" s="148"/>
      <c r="AX10" s="148"/>
      <c r="AY10" s="148"/>
      <c r="AZ10" s="148"/>
      <c r="BA10" s="148"/>
      <c r="BB10" s="148"/>
      <c r="BC10" s="149"/>
      <c r="BD10" s="29"/>
      <c r="BE10" s="29"/>
      <c r="BF10" s="1"/>
      <c r="BG10" s="1"/>
    </row>
    <row r="11" spans="1:59" s="28" customFormat="1" ht="19.899999999999999" customHeight="1">
      <c r="A11" s="30"/>
      <c r="B11" s="142">
        <v>4</v>
      </c>
      <c r="C11" s="143"/>
      <c r="D11" s="142" t="s">
        <v>29</v>
      </c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3"/>
      <c r="P11" s="160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2"/>
      <c r="AB11" s="142">
        <v>1</v>
      </c>
      <c r="AC11" s="146"/>
      <c r="AD11" s="146"/>
      <c r="AE11" s="146"/>
      <c r="AF11" s="143"/>
      <c r="AG11" s="142" t="s">
        <v>35</v>
      </c>
      <c r="AH11" s="146"/>
      <c r="AI11" s="143"/>
      <c r="AJ11" s="164"/>
      <c r="AK11" s="165"/>
      <c r="AL11" s="165"/>
      <c r="AM11" s="165"/>
      <c r="AN11" s="165"/>
      <c r="AO11" s="165"/>
      <c r="AP11" s="165"/>
      <c r="AQ11" s="165"/>
      <c r="AR11" s="165"/>
      <c r="AS11" s="166"/>
      <c r="AT11" s="157">
        <f>内訳明細書!M20</f>
        <v>0</v>
      </c>
      <c r="AU11" s="158"/>
      <c r="AV11" s="158"/>
      <c r="AW11" s="158"/>
      <c r="AX11" s="158"/>
      <c r="AY11" s="158"/>
      <c r="AZ11" s="158"/>
      <c r="BA11" s="158"/>
      <c r="BB11" s="158"/>
      <c r="BC11" s="159"/>
      <c r="BD11" s="29"/>
      <c r="BE11" s="29"/>
      <c r="BF11" s="27"/>
      <c r="BG11" s="27"/>
    </row>
    <row r="12" spans="1:59" ht="19.899999999999999" customHeight="1">
      <c r="A12" s="30"/>
      <c r="B12" s="144"/>
      <c r="C12" s="145"/>
      <c r="D12" s="144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45"/>
      <c r="P12" s="167"/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169"/>
      <c r="AB12" s="144"/>
      <c r="AC12" s="150"/>
      <c r="AD12" s="150"/>
      <c r="AE12" s="150"/>
      <c r="AF12" s="145"/>
      <c r="AG12" s="144"/>
      <c r="AH12" s="150"/>
      <c r="AI12" s="145"/>
      <c r="AJ12" s="154"/>
      <c r="AK12" s="155"/>
      <c r="AL12" s="155"/>
      <c r="AM12" s="155"/>
      <c r="AN12" s="155"/>
      <c r="AO12" s="155"/>
      <c r="AP12" s="155"/>
      <c r="AQ12" s="155"/>
      <c r="AR12" s="155"/>
      <c r="AS12" s="156"/>
      <c r="AT12" s="147"/>
      <c r="AU12" s="148"/>
      <c r="AV12" s="148"/>
      <c r="AW12" s="148"/>
      <c r="AX12" s="148"/>
      <c r="AY12" s="148"/>
      <c r="AZ12" s="148"/>
      <c r="BA12" s="148"/>
      <c r="BB12" s="148"/>
      <c r="BC12" s="149"/>
      <c r="BD12" s="29"/>
      <c r="BE12" s="29"/>
      <c r="BF12" s="1"/>
      <c r="BG12" s="1"/>
    </row>
    <row r="13" spans="1:59" s="28" customFormat="1" ht="19.899999999999999" customHeight="1">
      <c r="A13" s="30"/>
      <c r="B13" s="142"/>
      <c r="C13" s="143"/>
      <c r="D13" s="142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3"/>
      <c r="P13" s="160"/>
      <c r="Q13" s="161"/>
      <c r="R13" s="161"/>
      <c r="S13" s="161"/>
      <c r="T13" s="161"/>
      <c r="U13" s="161"/>
      <c r="V13" s="161"/>
      <c r="W13" s="161"/>
      <c r="X13" s="161"/>
      <c r="Y13" s="161"/>
      <c r="Z13" s="161"/>
      <c r="AA13" s="162"/>
      <c r="AB13" s="142"/>
      <c r="AC13" s="146"/>
      <c r="AD13" s="146"/>
      <c r="AE13" s="146"/>
      <c r="AF13" s="143"/>
      <c r="AG13" s="142"/>
      <c r="AH13" s="146"/>
      <c r="AI13" s="143"/>
      <c r="AJ13" s="164"/>
      <c r="AK13" s="165"/>
      <c r="AL13" s="165"/>
      <c r="AM13" s="165"/>
      <c r="AN13" s="165"/>
      <c r="AO13" s="165"/>
      <c r="AP13" s="165"/>
      <c r="AQ13" s="165"/>
      <c r="AR13" s="165"/>
      <c r="AS13" s="166"/>
      <c r="AT13" s="157"/>
      <c r="AU13" s="158"/>
      <c r="AV13" s="158"/>
      <c r="AW13" s="158"/>
      <c r="AX13" s="158"/>
      <c r="AY13" s="158"/>
      <c r="AZ13" s="158"/>
      <c r="BA13" s="158"/>
      <c r="BB13" s="158"/>
      <c r="BC13" s="159"/>
      <c r="BD13" s="29"/>
      <c r="BE13" s="29"/>
      <c r="BF13" s="27"/>
      <c r="BG13" s="27"/>
    </row>
    <row r="14" spans="1:59" ht="19.899999999999999" customHeight="1">
      <c r="A14" s="30"/>
      <c r="B14" s="144"/>
      <c r="C14" s="145"/>
      <c r="D14" s="144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45"/>
      <c r="P14" s="144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45"/>
      <c r="AB14" s="144"/>
      <c r="AC14" s="150"/>
      <c r="AD14" s="150"/>
      <c r="AE14" s="150"/>
      <c r="AF14" s="145"/>
      <c r="AG14" s="144"/>
      <c r="AH14" s="150"/>
      <c r="AI14" s="145"/>
      <c r="AJ14" s="154"/>
      <c r="AK14" s="155"/>
      <c r="AL14" s="155"/>
      <c r="AM14" s="155"/>
      <c r="AN14" s="155"/>
      <c r="AO14" s="155"/>
      <c r="AP14" s="155"/>
      <c r="AQ14" s="155"/>
      <c r="AR14" s="155"/>
      <c r="AS14" s="156"/>
      <c r="AT14" s="147"/>
      <c r="AU14" s="148"/>
      <c r="AV14" s="148"/>
      <c r="AW14" s="148"/>
      <c r="AX14" s="148"/>
      <c r="AY14" s="148"/>
      <c r="AZ14" s="148"/>
      <c r="BA14" s="148"/>
      <c r="BB14" s="148"/>
      <c r="BC14" s="149"/>
      <c r="BD14" s="29"/>
      <c r="BE14" s="29"/>
      <c r="BF14" s="1"/>
      <c r="BG14" s="1"/>
    </row>
    <row r="15" spans="1:59" s="28" customFormat="1" ht="19.899999999999999" customHeight="1">
      <c r="A15" s="30"/>
      <c r="B15" s="142"/>
      <c r="C15" s="143"/>
      <c r="D15" s="142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3"/>
      <c r="P15" s="160"/>
      <c r="Q15" s="161"/>
      <c r="R15" s="161"/>
      <c r="S15" s="161"/>
      <c r="T15" s="161"/>
      <c r="U15" s="161"/>
      <c r="V15" s="161"/>
      <c r="W15" s="161"/>
      <c r="X15" s="161"/>
      <c r="Y15" s="161"/>
      <c r="Z15" s="161"/>
      <c r="AA15" s="162"/>
      <c r="AB15" s="142"/>
      <c r="AC15" s="146"/>
      <c r="AD15" s="146"/>
      <c r="AE15" s="146"/>
      <c r="AF15" s="143"/>
      <c r="AG15" s="142"/>
      <c r="AH15" s="146"/>
      <c r="AI15" s="143"/>
      <c r="AJ15" s="164"/>
      <c r="AK15" s="165"/>
      <c r="AL15" s="165"/>
      <c r="AM15" s="165"/>
      <c r="AN15" s="165"/>
      <c r="AO15" s="165"/>
      <c r="AP15" s="165"/>
      <c r="AQ15" s="165"/>
      <c r="AR15" s="165"/>
      <c r="AS15" s="166"/>
      <c r="AT15" s="157"/>
      <c r="AU15" s="158"/>
      <c r="AV15" s="158"/>
      <c r="AW15" s="158"/>
      <c r="AX15" s="158"/>
      <c r="AY15" s="158"/>
      <c r="AZ15" s="158"/>
      <c r="BA15" s="158"/>
      <c r="BB15" s="158"/>
      <c r="BC15" s="159"/>
      <c r="BD15" s="29"/>
      <c r="BE15" s="29"/>
      <c r="BF15" s="27"/>
      <c r="BG15" s="27"/>
    </row>
    <row r="16" spans="1:59" ht="19.899999999999999" customHeight="1">
      <c r="A16" s="30"/>
      <c r="B16" s="144"/>
      <c r="C16" s="145"/>
      <c r="D16" s="144"/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45"/>
      <c r="P16" s="144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45"/>
      <c r="AB16" s="144"/>
      <c r="AC16" s="150"/>
      <c r="AD16" s="150"/>
      <c r="AE16" s="150"/>
      <c r="AF16" s="145"/>
      <c r="AG16" s="144"/>
      <c r="AH16" s="150"/>
      <c r="AI16" s="145"/>
      <c r="AJ16" s="154"/>
      <c r="AK16" s="155"/>
      <c r="AL16" s="155"/>
      <c r="AM16" s="155"/>
      <c r="AN16" s="155"/>
      <c r="AO16" s="155"/>
      <c r="AP16" s="155"/>
      <c r="AQ16" s="155"/>
      <c r="AR16" s="155"/>
      <c r="AS16" s="156"/>
      <c r="AT16" s="147"/>
      <c r="AU16" s="148"/>
      <c r="AV16" s="148"/>
      <c r="AW16" s="148"/>
      <c r="AX16" s="148"/>
      <c r="AY16" s="148"/>
      <c r="AZ16" s="148"/>
      <c r="BA16" s="148"/>
      <c r="BB16" s="148"/>
      <c r="BC16" s="149"/>
      <c r="BD16" s="29"/>
      <c r="BE16" s="29"/>
      <c r="BF16" s="1"/>
      <c r="BG16" s="1"/>
    </row>
    <row r="17" spans="1:59" s="28" customFormat="1" ht="19.899999999999999" customHeight="1">
      <c r="A17" s="30"/>
      <c r="B17" s="142"/>
      <c r="C17" s="143"/>
      <c r="D17" s="142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3"/>
      <c r="P17" s="160"/>
      <c r="Q17" s="161"/>
      <c r="R17" s="161"/>
      <c r="S17" s="161"/>
      <c r="T17" s="161"/>
      <c r="U17" s="161"/>
      <c r="V17" s="161"/>
      <c r="W17" s="161"/>
      <c r="X17" s="161"/>
      <c r="Y17" s="161"/>
      <c r="Z17" s="161"/>
      <c r="AA17" s="162"/>
      <c r="AB17" s="142"/>
      <c r="AC17" s="146"/>
      <c r="AD17" s="146"/>
      <c r="AE17" s="146"/>
      <c r="AF17" s="143"/>
      <c r="AG17" s="142"/>
      <c r="AH17" s="146"/>
      <c r="AI17" s="143"/>
      <c r="AJ17" s="164"/>
      <c r="AK17" s="165"/>
      <c r="AL17" s="165"/>
      <c r="AM17" s="165"/>
      <c r="AN17" s="165"/>
      <c r="AO17" s="165"/>
      <c r="AP17" s="165"/>
      <c r="AQ17" s="165"/>
      <c r="AR17" s="165"/>
      <c r="AS17" s="166"/>
      <c r="AT17" s="157"/>
      <c r="AU17" s="158"/>
      <c r="AV17" s="158"/>
      <c r="AW17" s="158"/>
      <c r="AX17" s="158"/>
      <c r="AY17" s="158"/>
      <c r="AZ17" s="158"/>
      <c r="BA17" s="158"/>
      <c r="BB17" s="158"/>
      <c r="BC17" s="159"/>
      <c r="BD17" s="29"/>
      <c r="BE17" s="29"/>
      <c r="BF17" s="27"/>
      <c r="BG17" s="27"/>
    </row>
    <row r="18" spans="1:59" ht="19.899999999999999" customHeight="1">
      <c r="A18" s="30"/>
      <c r="B18" s="144"/>
      <c r="C18" s="145"/>
      <c r="D18" s="144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45"/>
      <c r="P18" s="144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45"/>
      <c r="AB18" s="144"/>
      <c r="AC18" s="150"/>
      <c r="AD18" s="150"/>
      <c r="AE18" s="150"/>
      <c r="AF18" s="145"/>
      <c r="AG18" s="144"/>
      <c r="AH18" s="150"/>
      <c r="AI18" s="145"/>
      <c r="AJ18" s="154"/>
      <c r="AK18" s="155"/>
      <c r="AL18" s="155"/>
      <c r="AM18" s="155"/>
      <c r="AN18" s="155"/>
      <c r="AO18" s="155"/>
      <c r="AP18" s="155"/>
      <c r="AQ18" s="155"/>
      <c r="AR18" s="155"/>
      <c r="AS18" s="156"/>
      <c r="AT18" s="147"/>
      <c r="AU18" s="148"/>
      <c r="AV18" s="148"/>
      <c r="AW18" s="148"/>
      <c r="AX18" s="148"/>
      <c r="AY18" s="148"/>
      <c r="AZ18" s="148"/>
      <c r="BA18" s="148"/>
      <c r="BB18" s="148"/>
      <c r="BC18" s="149"/>
      <c r="BD18" s="29"/>
      <c r="BE18" s="29"/>
      <c r="BF18" s="1"/>
      <c r="BG18" s="1"/>
    </row>
    <row r="19" spans="1:59" s="28" customFormat="1" ht="19.899999999999999" customHeight="1">
      <c r="A19" s="30"/>
      <c r="B19" s="142"/>
      <c r="C19" s="143"/>
      <c r="D19" s="142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3"/>
      <c r="P19" s="142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3"/>
      <c r="AB19" s="142"/>
      <c r="AC19" s="146"/>
      <c r="AD19" s="146"/>
      <c r="AE19" s="146"/>
      <c r="AF19" s="143"/>
      <c r="AG19" s="142"/>
      <c r="AH19" s="146"/>
      <c r="AI19" s="146"/>
      <c r="AJ19" s="164"/>
      <c r="AK19" s="165"/>
      <c r="AL19" s="165"/>
      <c r="AM19" s="165"/>
      <c r="AN19" s="165"/>
      <c r="AO19" s="165"/>
      <c r="AP19" s="165"/>
      <c r="AQ19" s="165"/>
      <c r="AR19" s="165"/>
      <c r="AS19" s="166"/>
      <c r="AT19" s="157"/>
      <c r="AU19" s="158"/>
      <c r="AV19" s="158"/>
      <c r="AW19" s="158"/>
      <c r="AX19" s="158"/>
      <c r="AY19" s="158"/>
      <c r="AZ19" s="158"/>
      <c r="BA19" s="158"/>
      <c r="BB19" s="158"/>
      <c r="BC19" s="159"/>
      <c r="BD19" s="29"/>
      <c r="BE19" s="29"/>
      <c r="BF19" s="27"/>
      <c r="BG19" s="27"/>
    </row>
    <row r="20" spans="1:59" ht="19.899999999999999" customHeight="1">
      <c r="A20" s="30"/>
      <c r="B20" s="178"/>
      <c r="C20" s="179"/>
      <c r="D20" s="177" t="s">
        <v>3</v>
      </c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  <c r="AH20" s="177"/>
      <c r="AI20" s="177"/>
      <c r="AJ20" s="176"/>
      <c r="AK20" s="176"/>
      <c r="AL20" s="176"/>
      <c r="AM20" s="176"/>
      <c r="AN20" s="176"/>
      <c r="AO20" s="176"/>
      <c r="AP20" s="176"/>
      <c r="AQ20" s="176"/>
      <c r="AR20" s="176"/>
      <c r="AS20" s="176"/>
      <c r="AT20" s="163">
        <f>SUM(AT8:BC19)</f>
        <v>0</v>
      </c>
      <c r="AU20" s="163"/>
      <c r="AV20" s="163"/>
      <c r="AW20" s="163"/>
      <c r="AX20" s="163"/>
      <c r="AY20" s="163"/>
      <c r="AZ20" s="163"/>
      <c r="BA20" s="163"/>
      <c r="BB20" s="163"/>
      <c r="BC20" s="163"/>
      <c r="BD20" s="29"/>
      <c r="BE20" s="29"/>
      <c r="BF20" s="1"/>
      <c r="BG20" s="1"/>
    </row>
    <row r="21" spans="1:59" ht="19.899999999999999" customHeight="1">
      <c r="A21" s="30"/>
      <c r="B21" s="180" t="s">
        <v>41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  <c r="AA21" s="181"/>
      <c r="AB21" s="181"/>
      <c r="AC21" s="181"/>
      <c r="AD21" s="181"/>
      <c r="AE21" s="181"/>
      <c r="AF21" s="181"/>
      <c r="AG21" s="181"/>
      <c r="AH21" s="181"/>
      <c r="AI21" s="181"/>
      <c r="AJ21" s="181"/>
      <c r="AK21" s="181"/>
      <c r="AL21" s="181"/>
      <c r="AM21" s="181"/>
      <c r="AN21" s="181"/>
      <c r="AO21" s="181"/>
      <c r="AP21" s="181"/>
      <c r="AQ21" s="181"/>
      <c r="AR21" s="181"/>
      <c r="AS21" s="181"/>
      <c r="AT21" s="181"/>
      <c r="AU21" s="181"/>
      <c r="AV21" s="181"/>
      <c r="AW21" s="181"/>
      <c r="AX21" s="181"/>
      <c r="AY21" s="181"/>
      <c r="AZ21" s="181"/>
      <c r="BA21" s="181"/>
      <c r="BB21" s="181"/>
      <c r="BC21" s="182"/>
      <c r="BD21" s="31"/>
      <c r="BE21" s="31"/>
      <c r="BF21" s="1"/>
      <c r="BG21" s="1"/>
    </row>
    <row r="22" spans="1:59" ht="25" customHeight="1">
      <c r="B22" s="183" t="s">
        <v>46</v>
      </c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  <c r="AA22" s="184"/>
      <c r="AB22" s="184"/>
      <c r="AC22" s="184"/>
      <c r="AD22" s="184"/>
      <c r="AE22" s="184"/>
      <c r="AF22" s="184"/>
      <c r="AG22" s="184"/>
      <c r="AH22" s="184"/>
      <c r="AI22" s="184"/>
      <c r="AJ22" s="184"/>
      <c r="AK22" s="184"/>
      <c r="AL22" s="184"/>
      <c r="AM22" s="184"/>
      <c r="AN22" s="184"/>
      <c r="AO22" s="184"/>
      <c r="AP22" s="184"/>
      <c r="AQ22" s="184"/>
      <c r="AR22" s="184"/>
      <c r="AS22" s="184"/>
      <c r="AT22" s="184"/>
      <c r="AU22" s="184"/>
      <c r="AV22" s="184"/>
      <c r="AW22" s="184"/>
      <c r="AX22" s="184"/>
      <c r="AY22" s="184"/>
      <c r="AZ22" s="184"/>
      <c r="BA22" s="184"/>
      <c r="BB22" s="184"/>
      <c r="BC22" s="185"/>
      <c r="BD22" s="31"/>
      <c r="BE22" s="31"/>
      <c r="BF22" s="1"/>
      <c r="BG22" s="1"/>
    </row>
    <row r="23" spans="1:59" ht="25" customHeight="1">
      <c r="B23" s="173" t="s">
        <v>70</v>
      </c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5"/>
      <c r="BD23" s="32"/>
      <c r="BE23" s="32"/>
    </row>
    <row r="24" spans="1:59" ht="25" customHeight="1">
      <c r="B24" s="173" t="s">
        <v>64</v>
      </c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  <c r="AA24" s="174"/>
      <c r="AB24" s="174"/>
      <c r="AC24" s="174"/>
      <c r="AD24" s="174"/>
      <c r="AE24" s="174"/>
      <c r="AF24" s="174"/>
      <c r="AG24" s="174"/>
      <c r="AH24" s="174"/>
      <c r="AI24" s="174"/>
      <c r="AJ24" s="174"/>
      <c r="AK24" s="174"/>
      <c r="AL24" s="174"/>
      <c r="AM24" s="174"/>
      <c r="AN24" s="174"/>
      <c r="AO24" s="174"/>
      <c r="AP24" s="174"/>
      <c r="AQ24" s="174"/>
      <c r="AR24" s="174"/>
      <c r="AS24" s="174"/>
      <c r="AT24" s="174"/>
      <c r="AU24" s="174"/>
      <c r="AV24" s="174"/>
      <c r="AW24" s="174"/>
      <c r="AX24" s="174"/>
      <c r="AY24" s="174"/>
      <c r="AZ24" s="174"/>
      <c r="BA24" s="174"/>
      <c r="BB24" s="174"/>
      <c r="BC24" s="175"/>
    </row>
    <row r="25" spans="1:59" ht="25" customHeight="1">
      <c r="B25" s="173" t="s">
        <v>47</v>
      </c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  <c r="AA25" s="174"/>
      <c r="AB25" s="174"/>
      <c r="AC25" s="174"/>
      <c r="AD25" s="174"/>
      <c r="AE25" s="174"/>
      <c r="AF25" s="174"/>
      <c r="AG25" s="174"/>
      <c r="AH25" s="174"/>
      <c r="AI25" s="174"/>
      <c r="AJ25" s="174"/>
      <c r="AK25" s="174"/>
      <c r="AL25" s="174"/>
      <c r="AM25" s="174"/>
      <c r="AN25" s="174"/>
      <c r="AO25" s="174"/>
      <c r="AP25" s="174"/>
      <c r="AQ25" s="174"/>
      <c r="AR25" s="174"/>
      <c r="AS25" s="174"/>
      <c r="AT25" s="174"/>
      <c r="AU25" s="174"/>
      <c r="AV25" s="174"/>
      <c r="AW25" s="174"/>
      <c r="AX25" s="174"/>
      <c r="AY25" s="174"/>
      <c r="AZ25" s="174"/>
      <c r="BA25" s="174"/>
      <c r="BB25" s="174"/>
      <c r="BC25" s="175"/>
    </row>
    <row r="26" spans="1:59" ht="25" customHeight="1">
      <c r="B26" s="170" t="s">
        <v>48</v>
      </c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  <c r="AI26" s="171"/>
      <c r="AJ26" s="171"/>
      <c r="AK26" s="171"/>
      <c r="AL26" s="171"/>
      <c r="AM26" s="171"/>
      <c r="AN26" s="171"/>
      <c r="AO26" s="171"/>
      <c r="AP26" s="171"/>
      <c r="AQ26" s="171"/>
      <c r="AR26" s="171"/>
      <c r="AS26" s="171"/>
      <c r="AT26" s="171"/>
      <c r="AU26" s="171"/>
      <c r="AV26" s="171"/>
      <c r="AW26" s="171"/>
      <c r="AX26" s="171"/>
      <c r="AY26" s="171"/>
      <c r="AZ26" s="171"/>
      <c r="BA26" s="171"/>
      <c r="BB26" s="171"/>
      <c r="BC26" s="172"/>
    </row>
  </sheetData>
  <mergeCells count="108">
    <mergeCell ref="B26:BC26"/>
    <mergeCell ref="B25:BC25"/>
    <mergeCell ref="AT17:BC17"/>
    <mergeCell ref="B18:C18"/>
    <mergeCell ref="D16:O16"/>
    <mergeCell ref="D18:O18"/>
    <mergeCell ref="P16:AA16"/>
    <mergeCell ref="P18:AA18"/>
    <mergeCell ref="AJ20:AS20"/>
    <mergeCell ref="AG20:AI20"/>
    <mergeCell ref="AB20:AF20"/>
    <mergeCell ref="P20:AA20"/>
    <mergeCell ref="D20:O20"/>
    <mergeCell ref="B20:C20"/>
    <mergeCell ref="D19:O19"/>
    <mergeCell ref="P19:AA19"/>
    <mergeCell ref="B21:BC21"/>
    <mergeCell ref="B22:BC22"/>
    <mergeCell ref="B23:BC23"/>
    <mergeCell ref="B24:BC24"/>
    <mergeCell ref="AG15:AI15"/>
    <mergeCell ref="AJ15:AS15"/>
    <mergeCell ref="AB17:AF17"/>
    <mergeCell ref="AG17:AI17"/>
    <mergeCell ref="AJ17:AS17"/>
    <mergeCell ref="AB18:AF18"/>
    <mergeCell ref="B17:C17"/>
    <mergeCell ref="AJ18:AS18"/>
    <mergeCell ref="AB16:AF16"/>
    <mergeCell ref="AG16:AI16"/>
    <mergeCell ref="AG18:AI18"/>
    <mergeCell ref="B10:C10"/>
    <mergeCell ref="B14:C14"/>
    <mergeCell ref="B16:C16"/>
    <mergeCell ref="D10:O10"/>
    <mergeCell ref="D12:O12"/>
    <mergeCell ref="D14:O14"/>
    <mergeCell ref="P10:AA10"/>
    <mergeCell ref="P14:AA14"/>
    <mergeCell ref="AB10:AF10"/>
    <mergeCell ref="AB14:AF14"/>
    <mergeCell ref="P13:AA13"/>
    <mergeCell ref="D13:O13"/>
    <mergeCell ref="B13:C13"/>
    <mergeCell ref="P15:AA15"/>
    <mergeCell ref="P12:AA12"/>
    <mergeCell ref="D15:O15"/>
    <mergeCell ref="B15:C15"/>
    <mergeCell ref="AB12:AF12"/>
    <mergeCell ref="AG11:AI11"/>
    <mergeCell ref="AG19:AI19"/>
    <mergeCell ref="AG12:AI12"/>
    <mergeCell ref="AT15:BC15"/>
    <mergeCell ref="D17:O17"/>
    <mergeCell ref="P17:AA17"/>
    <mergeCell ref="AT20:BC20"/>
    <mergeCell ref="AT9:BC9"/>
    <mergeCell ref="AT11:BC11"/>
    <mergeCell ref="AT19:BC19"/>
    <mergeCell ref="AT13:BC13"/>
    <mergeCell ref="AJ9:AS9"/>
    <mergeCell ref="AJ11:AS11"/>
    <mergeCell ref="AJ19:AS19"/>
    <mergeCell ref="AJ13:AS13"/>
    <mergeCell ref="D11:O11"/>
    <mergeCell ref="P9:AA9"/>
    <mergeCell ref="P11:AA11"/>
    <mergeCell ref="AG9:AI9"/>
    <mergeCell ref="AT12:BC12"/>
    <mergeCell ref="AT14:BC14"/>
    <mergeCell ref="AT16:BC16"/>
    <mergeCell ref="AT18:BC18"/>
    <mergeCell ref="AT10:BC10"/>
    <mergeCell ref="B9:C9"/>
    <mergeCell ref="B11:C11"/>
    <mergeCell ref="B19:C19"/>
    <mergeCell ref="B12:C12"/>
    <mergeCell ref="D9:O9"/>
    <mergeCell ref="AT8:BC8"/>
    <mergeCell ref="P8:AA8"/>
    <mergeCell ref="AB8:AF8"/>
    <mergeCell ref="AG8:AI8"/>
    <mergeCell ref="AJ8:AS8"/>
    <mergeCell ref="B8:C8"/>
    <mergeCell ref="D8:O8"/>
    <mergeCell ref="AG10:AI10"/>
    <mergeCell ref="AG14:AI14"/>
    <mergeCell ref="AJ10:AS10"/>
    <mergeCell ref="AJ12:AS12"/>
    <mergeCell ref="AJ14:AS14"/>
    <mergeCell ref="AJ16:AS16"/>
    <mergeCell ref="AB9:AF9"/>
    <mergeCell ref="AB11:AF11"/>
    <mergeCell ref="AB19:AF19"/>
    <mergeCell ref="AB13:AF13"/>
    <mergeCell ref="AG13:AI13"/>
    <mergeCell ref="AB15:AF15"/>
    <mergeCell ref="AR1:BC2"/>
    <mergeCell ref="AG6:AI7"/>
    <mergeCell ref="AJ6:AS7"/>
    <mergeCell ref="AT6:BC7"/>
    <mergeCell ref="AR3:BC3"/>
    <mergeCell ref="B4:AA5"/>
    <mergeCell ref="P6:AA7"/>
    <mergeCell ref="C2:R3"/>
    <mergeCell ref="B6:C7"/>
    <mergeCell ref="D6:O7"/>
    <mergeCell ref="AB6:AF7"/>
  </mergeCells>
  <phoneticPr fontId="1"/>
  <printOptions horizontalCentered="1"/>
  <pageMargins left="0.39370078740157483" right="0.39370078740157483" top="0.39370078740157483" bottom="0.39370078740157483" header="0.51181102362204722" footer="0.51181102362204722"/>
  <pageSetup paperSize="9" scale="97" fitToWidth="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3"/>
  <sheetViews>
    <sheetView showGridLines="0" showZeros="0" view="pageBreakPreview" zoomScale="85" zoomScaleNormal="80" zoomScaleSheetLayoutView="85" workbookViewId="0">
      <selection activeCell="A8" sqref="A8"/>
    </sheetView>
  </sheetViews>
  <sheetFormatPr defaultColWidth="2.453125" defaultRowHeight="15" customHeight="1"/>
  <cols>
    <col min="1" max="1" width="5.6328125" style="20" customWidth="1"/>
    <col min="2" max="2" width="24.453125" style="20" customWidth="1"/>
    <col min="3" max="4" width="8.26953125" style="20" customWidth="1"/>
    <col min="5" max="5" width="16.26953125" style="20" customWidth="1"/>
    <col min="6" max="6" width="9" style="20" customWidth="1"/>
    <col min="7" max="8" width="8" style="20" customWidth="1"/>
    <col min="9" max="9" width="8.6328125" style="20" customWidth="1"/>
    <col min="10" max="10" width="13.6328125" style="20" customWidth="1"/>
    <col min="11" max="11" width="8.6328125" style="20" customWidth="1"/>
    <col min="12" max="12" width="13.6328125" style="20" customWidth="1"/>
    <col min="13" max="13" width="10.26953125" style="20" customWidth="1"/>
    <col min="14" max="15" width="8.6328125" style="20" customWidth="1"/>
    <col min="16" max="17" width="10.6328125" style="20" customWidth="1"/>
    <col min="18" max="18" width="10" style="70" customWidth="1"/>
    <col min="19" max="19" width="4.90625" style="70" customWidth="1"/>
    <col min="20" max="20" width="10" style="70" customWidth="1"/>
    <col min="21" max="21" width="4.90625" style="70" customWidth="1"/>
    <col min="22" max="22" width="10" style="70" customWidth="1"/>
    <col min="23" max="23" width="4.90625" style="70" customWidth="1"/>
    <col min="24" max="24" width="10" style="70" customWidth="1"/>
    <col min="25" max="25" width="4.90625" style="70" customWidth="1"/>
    <col min="26" max="26" width="10" style="70" customWidth="1"/>
    <col min="27" max="27" width="4.90625" style="70" customWidth="1"/>
    <col min="28" max="31" width="10.6328125" style="20" customWidth="1"/>
    <col min="32" max="16384" width="2.453125" style="20"/>
  </cols>
  <sheetData>
    <row r="1" spans="1:28" ht="14.25" customHeight="1">
      <c r="A1" s="18"/>
      <c r="B1" s="19"/>
      <c r="C1" s="19"/>
      <c r="D1" s="19"/>
      <c r="E1" s="19"/>
      <c r="F1" s="19"/>
      <c r="G1" s="19"/>
      <c r="H1" s="19"/>
      <c r="I1" s="19"/>
      <c r="J1" s="19"/>
      <c r="K1" s="264">
        <f ca="1">TODAY()</f>
        <v>46283</v>
      </c>
      <c r="L1" s="264"/>
      <c r="M1" s="264"/>
      <c r="N1" s="264"/>
      <c r="O1" s="264"/>
    </row>
    <row r="2" spans="1:28" ht="22.15" customHeight="1">
      <c r="A2" s="21"/>
      <c r="B2" s="257" t="s">
        <v>52</v>
      </c>
      <c r="C2" s="257"/>
      <c r="D2" s="257"/>
      <c r="E2" s="257"/>
      <c r="F2" s="254"/>
      <c r="G2" s="254"/>
      <c r="H2" s="254"/>
      <c r="I2" s="254"/>
      <c r="J2" s="254"/>
      <c r="K2" s="264"/>
      <c r="L2" s="264"/>
      <c r="M2" s="264"/>
      <c r="N2" s="264"/>
      <c r="O2" s="264"/>
    </row>
    <row r="3" spans="1:28" ht="22.15" customHeight="1">
      <c r="A3" s="22"/>
      <c r="B3" s="257"/>
      <c r="C3" s="257"/>
      <c r="D3" s="257"/>
      <c r="E3" s="257"/>
      <c r="F3" s="254"/>
      <c r="G3" s="254"/>
      <c r="H3" s="254"/>
      <c r="I3" s="254"/>
      <c r="J3" s="254"/>
      <c r="K3" s="263" t="s">
        <v>53</v>
      </c>
      <c r="L3" s="263"/>
      <c r="M3" s="263"/>
      <c r="N3" s="263"/>
      <c r="O3" s="263"/>
    </row>
    <row r="4" spans="1:28" ht="15" customHeight="1">
      <c r="A4" s="18"/>
      <c r="B4" s="255">
        <f>見積書!J27</f>
        <v>0</v>
      </c>
      <c r="C4" s="255"/>
      <c r="D4" s="255"/>
      <c r="E4" s="255"/>
      <c r="F4" s="255"/>
      <c r="G4" s="255"/>
      <c r="H4" s="255"/>
      <c r="I4" s="255"/>
      <c r="J4" s="255"/>
      <c r="K4" s="255"/>
      <c r="L4" s="23"/>
    </row>
    <row r="5" spans="1:28" ht="15" customHeight="1">
      <c r="A5" s="43"/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4"/>
    </row>
    <row r="6" spans="1:28" ht="15" customHeight="1">
      <c r="A6" s="225" t="s">
        <v>24</v>
      </c>
      <c r="B6" s="227" t="s">
        <v>10</v>
      </c>
      <c r="C6" s="267" t="s">
        <v>11</v>
      </c>
      <c r="D6" s="269"/>
      <c r="E6" s="270"/>
      <c r="F6" s="227" t="s">
        <v>12</v>
      </c>
      <c r="G6" s="267" t="s">
        <v>0</v>
      </c>
      <c r="H6" s="211" t="s">
        <v>56</v>
      </c>
      <c r="I6" s="261" t="s">
        <v>43</v>
      </c>
      <c r="J6" s="262"/>
      <c r="K6" s="265" t="s">
        <v>39</v>
      </c>
      <c r="L6" s="266"/>
      <c r="M6" s="258" t="s">
        <v>31</v>
      </c>
      <c r="N6" s="259"/>
      <c r="O6" s="260"/>
      <c r="P6" s="194"/>
      <c r="Q6" s="70"/>
      <c r="R6" s="199"/>
      <c r="S6" s="199"/>
      <c r="T6" s="199"/>
      <c r="U6" s="199"/>
      <c r="V6" s="199"/>
      <c r="W6" s="199"/>
      <c r="X6" s="199"/>
      <c r="Y6" s="199"/>
    </row>
    <row r="7" spans="1:28" ht="15" customHeight="1">
      <c r="A7" s="226"/>
      <c r="B7" s="228"/>
      <c r="C7" s="268"/>
      <c r="D7" s="271"/>
      <c r="E7" s="272"/>
      <c r="F7" s="228"/>
      <c r="G7" s="268"/>
      <c r="H7" s="212"/>
      <c r="I7" s="50" t="s">
        <v>1</v>
      </c>
      <c r="J7" s="51" t="s">
        <v>3</v>
      </c>
      <c r="K7" s="42" t="s">
        <v>30</v>
      </c>
      <c r="L7" s="42" t="s">
        <v>31</v>
      </c>
      <c r="M7" s="41" t="s">
        <v>30</v>
      </c>
      <c r="N7" s="213" t="s">
        <v>32</v>
      </c>
      <c r="O7" s="214"/>
      <c r="P7" s="194"/>
      <c r="Q7" s="70"/>
      <c r="R7" s="199"/>
      <c r="S7" s="199"/>
      <c r="T7" s="199"/>
      <c r="U7" s="199"/>
      <c r="V7" s="199"/>
      <c r="W7" s="199"/>
      <c r="X7" s="199"/>
      <c r="Y7" s="199"/>
    </row>
    <row r="8" spans="1:28" s="35" customFormat="1" ht="30" customHeight="1">
      <c r="A8" s="58"/>
      <c r="B8" s="59"/>
      <c r="C8" s="205"/>
      <c r="D8" s="206"/>
      <c r="E8" s="207"/>
      <c r="F8" s="61"/>
      <c r="G8" s="61"/>
      <c r="H8" s="61"/>
      <c r="I8" s="68"/>
      <c r="J8" s="62">
        <f>F8*I8</f>
        <v>0</v>
      </c>
      <c r="K8" s="63"/>
      <c r="L8" s="63">
        <f>ROUND(F8*K8,0)</f>
        <v>0</v>
      </c>
      <c r="M8" s="64">
        <f t="shared" ref="M8:N8" si="0">K8+I8</f>
        <v>0</v>
      </c>
      <c r="N8" s="195">
        <f t="shared" si="0"/>
        <v>0</v>
      </c>
      <c r="O8" s="196"/>
      <c r="P8" s="34"/>
      <c r="Q8" s="34"/>
      <c r="R8" s="91" t="s">
        <v>67</v>
      </c>
      <c r="S8" s="91"/>
      <c r="T8" s="91" t="s">
        <v>68</v>
      </c>
      <c r="U8" s="91"/>
      <c r="V8" s="92"/>
      <c r="W8" s="91"/>
      <c r="X8" s="91" t="s">
        <v>69</v>
      </c>
      <c r="Y8" s="91"/>
      <c r="Z8" s="90" t="s">
        <v>63</v>
      </c>
      <c r="AA8" s="90"/>
    </row>
    <row r="9" spans="1:28" s="77" customFormat="1" ht="30" customHeight="1">
      <c r="A9" s="73"/>
      <c r="B9" s="74"/>
      <c r="C9" s="208"/>
      <c r="D9" s="209"/>
      <c r="E9" s="210"/>
      <c r="F9" s="76"/>
      <c r="G9" s="76"/>
      <c r="H9" s="76"/>
      <c r="I9" s="69"/>
      <c r="J9" s="65">
        <f>F9*I9</f>
        <v>0</v>
      </c>
      <c r="K9" s="66"/>
      <c r="L9" s="66">
        <f t="shared" ref="L9:L10" si="1">ROUND(F9*K9,0)</f>
        <v>0</v>
      </c>
      <c r="M9" s="67">
        <f t="shared" ref="M9:M10" si="2">K9+I9</f>
        <v>0</v>
      </c>
      <c r="N9" s="197">
        <f t="shared" ref="N9:N10" si="3">L9+J9</f>
        <v>0</v>
      </c>
      <c r="O9" s="198"/>
      <c r="R9" s="86">
        <v>21.25</v>
      </c>
      <c r="S9" s="86" t="s">
        <v>62</v>
      </c>
      <c r="T9" s="86">
        <v>37.1</v>
      </c>
      <c r="U9" s="86" t="s">
        <v>61</v>
      </c>
      <c r="V9" s="97">
        <f>R9+T9</f>
        <v>58.35</v>
      </c>
      <c r="W9" s="86" t="s">
        <v>66</v>
      </c>
      <c r="X9" s="86">
        <v>2</v>
      </c>
      <c r="Y9" s="86" t="s">
        <v>66</v>
      </c>
      <c r="Z9" s="93"/>
      <c r="AA9" s="93" t="s">
        <v>61</v>
      </c>
      <c r="AB9" s="95">
        <f>V9*X9*Z9</f>
        <v>0</v>
      </c>
    </row>
    <row r="10" spans="1:28" s="35" customFormat="1" ht="30.75" customHeight="1">
      <c r="A10" s="58"/>
      <c r="B10" s="59"/>
      <c r="C10" s="205"/>
      <c r="D10" s="206"/>
      <c r="E10" s="207"/>
      <c r="F10" s="61"/>
      <c r="G10" s="61"/>
      <c r="H10" s="61"/>
      <c r="I10" s="68"/>
      <c r="J10" s="62">
        <f t="shared" ref="J10" si="4">F10*I10</f>
        <v>0</v>
      </c>
      <c r="K10" s="63"/>
      <c r="L10" s="63">
        <f t="shared" si="1"/>
        <v>0</v>
      </c>
      <c r="M10" s="64">
        <f t="shared" si="2"/>
        <v>0</v>
      </c>
      <c r="N10" s="195">
        <f t="shared" si="3"/>
        <v>0</v>
      </c>
      <c r="O10" s="196"/>
      <c r="P10" s="34"/>
      <c r="Q10" s="77"/>
      <c r="R10" s="86">
        <v>1.8</v>
      </c>
      <c r="S10" s="86" t="s">
        <v>62</v>
      </c>
      <c r="T10" s="86">
        <v>1.8</v>
      </c>
      <c r="U10" s="86" t="s">
        <v>61</v>
      </c>
      <c r="V10" s="87">
        <f t="shared" ref="V10:V16" si="5">R10+T10</f>
        <v>3.6</v>
      </c>
      <c r="W10" s="86" t="s">
        <v>66</v>
      </c>
      <c r="X10" s="86">
        <v>2</v>
      </c>
      <c r="Y10" s="86" t="s">
        <v>66</v>
      </c>
      <c r="Z10" s="93"/>
      <c r="AA10" s="94" t="s">
        <v>61</v>
      </c>
      <c r="AB10" s="95">
        <f t="shared" ref="AB10:AB16" si="6">V10*X10*Z10</f>
        <v>0</v>
      </c>
    </row>
    <row r="11" spans="1:28" s="77" customFormat="1" ht="30" customHeight="1">
      <c r="A11" s="73"/>
      <c r="B11" s="74"/>
      <c r="C11" s="208"/>
      <c r="D11" s="209"/>
      <c r="E11" s="210"/>
      <c r="F11" s="78"/>
      <c r="G11" s="76"/>
      <c r="H11" s="76"/>
      <c r="I11" s="69"/>
      <c r="J11" s="65">
        <f t="shared" ref="J11:J13" si="7">F11*I11</f>
        <v>0</v>
      </c>
      <c r="K11" s="66"/>
      <c r="L11" s="66">
        <f t="shared" ref="L11:L13" si="8">ROUND(F11*K11,0)</f>
        <v>0</v>
      </c>
      <c r="M11" s="67">
        <f t="shared" ref="M11:M13" si="9">K11+I11</f>
        <v>0</v>
      </c>
      <c r="N11" s="197">
        <f t="shared" ref="N11:N13" si="10">L11+J11</f>
        <v>0</v>
      </c>
      <c r="O11" s="198"/>
      <c r="R11" s="86"/>
      <c r="S11" s="86" t="s">
        <v>62</v>
      </c>
      <c r="T11" s="86"/>
      <c r="U11" s="86" t="s">
        <v>61</v>
      </c>
      <c r="V11" s="87">
        <f t="shared" si="5"/>
        <v>0</v>
      </c>
      <c r="W11" s="86" t="s">
        <v>66</v>
      </c>
      <c r="X11" s="86">
        <v>2</v>
      </c>
      <c r="Y11" s="86" t="s">
        <v>66</v>
      </c>
      <c r="Z11" s="93"/>
      <c r="AA11" s="93" t="s">
        <v>61</v>
      </c>
      <c r="AB11" s="95">
        <f t="shared" si="6"/>
        <v>0</v>
      </c>
    </row>
    <row r="12" spans="1:28" s="35" customFormat="1" ht="30.75" customHeight="1">
      <c r="A12" s="58"/>
      <c r="B12" s="60"/>
      <c r="C12" s="205"/>
      <c r="D12" s="206"/>
      <c r="E12" s="207"/>
      <c r="F12" s="61"/>
      <c r="G12" s="61"/>
      <c r="H12" s="61"/>
      <c r="I12" s="68"/>
      <c r="J12" s="62">
        <f t="shared" si="7"/>
        <v>0</v>
      </c>
      <c r="K12" s="63"/>
      <c r="L12" s="63">
        <f t="shared" si="8"/>
        <v>0</v>
      </c>
      <c r="M12" s="64">
        <f t="shared" si="9"/>
        <v>0</v>
      </c>
      <c r="N12" s="195">
        <f t="shared" si="10"/>
        <v>0</v>
      </c>
      <c r="O12" s="196"/>
      <c r="P12" s="34"/>
      <c r="Q12" s="77"/>
      <c r="R12" s="86">
        <v>15.9</v>
      </c>
      <c r="S12" s="86" t="s">
        <v>62</v>
      </c>
      <c r="T12" s="86">
        <v>4.5</v>
      </c>
      <c r="U12" s="86" t="s">
        <v>61</v>
      </c>
      <c r="V12" s="87">
        <f t="shared" si="5"/>
        <v>20.399999999999999</v>
      </c>
      <c r="W12" s="86" t="s">
        <v>66</v>
      </c>
      <c r="X12" s="86">
        <v>2</v>
      </c>
      <c r="Y12" s="86" t="s">
        <v>66</v>
      </c>
      <c r="Z12" s="93">
        <v>5</v>
      </c>
      <c r="AA12" s="94" t="s">
        <v>61</v>
      </c>
      <c r="AB12" s="95">
        <f t="shared" si="6"/>
        <v>204</v>
      </c>
    </row>
    <row r="13" spans="1:28" s="77" customFormat="1" ht="30" customHeight="1">
      <c r="A13" s="75"/>
      <c r="B13" s="79"/>
      <c r="C13" s="219"/>
      <c r="D13" s="220"/>
      <c r="E13" s="221"/>
      <c r="F13" s="78"/>
      <c r="G13" s="76"/>
      <c r="H13" s="76"/>
      <c r="I13" s="69"/>
      <c r="J13" s="65">
        <f t="shared" si="7"/>
        <v>0</v>
      </c>
      <c r="K13" s="66"/>
      <c r="L13" s="66">
        <f t="shared" si="8"/>
        <v>0</v>
      </c>
      <c r="M13" s="67">
        <f t="shared" si="9"/>
        <v>0</v>
      </c>
      <c r="N13" s="197">
        <f t="shared" si="10"/>
        <v>0</v>
      </c>
      <c r="O13" s="198"/>
      <c r="R13" s="86"/>
      <c r="S13" s="86" t="s">
        <v>62</v>
      </c>
      <c r="T13" s="86"/>
      <c r="U13" s="86" t="s">
        <v>61</v>
      </c>
      <c r="V13" s="87">
        <f t="shared" si="5"/>
        <v>0</v>
      </c>
      <c r="W13" s="86" t="s">
        <v>66</v>
      </c>
      <c r="X13" s="86">
        <v>2</v>
      </c>
      <c r="Y13" s="86" t="s">
        <v>66</v>
      </c>
      <c r="Z13" s="93">
        <v>5</v>
      </c>
      <c r="AA13" s="93" t="s">
        <v>61</v>
      </c>
      <c r="AB13" s="95">
        <f t="shared" si="6"/>
        <v>0</v>
      </c>
    </row>
    <row r="14" spans="1:28" s="35" customFormat="1" ht="30.75" customHeight="1">
      <c r="A14" s="58"/>
      <c r="B14" s="60"/>
      <c r="C14" s="205"/>
      <c r="D14" s="206"/>
      <c r="E14" s="207"/>
      <c r="F14" s="61"/>
      <c r="G14" s="61"/>
      <c r="H14" s="61"/>
      <c r="I14" s="68"/>
      <c r="J14" s="62">
        <f t="shared" ref="J14" si="11">F14*I14</f>
        <v>0</v>
      </c>
      <c r="K14" s="63"/>
      <c r="L14" s="63">
        <f t="shared" ref="L14" si="12">ROUND(F14*K14,0)</f>
        <v>0</v>
      </c>
      <c r="M14" s="64">
        <f t="shared" ref="M14" si="13">K14+I14</f>
        <v>0</v>
      </c>
      <c r="N14" s="195">
        <f t="shared" ref="N14" si="14">L14+J14</f>
        <v>0</v>
      </c>
      <c r="O14" s="196"/>
      <c r="P14" s="34"/>
      <c r="Q14" s="77"/>
      <c r="R14" s="86"/>
      <c r="S14" s="86" t="s">
        <v>62</v>
      </c>
      <c r="T14" s="86"/>
      <c r="U14" s="86" t="s">
        <v>61</v>
      </c>
      <c r="V14" s="87">
        <f t="shared" ref="V14" si="15">R14+T14</f>
        <v>0</v>
      </c>
      <c r="W14" s="86" t="s">
        <v>66</v>
      </c>
      <c r="X14" s="86"/>
      <c r="Y14" s="86" t="s">
        <v>66</v>
      </c>
      <c r="Z14" s="93"/>
      <c r="AA14" s="94" t="s">
        <v>61</v>
      </c>
      <c r="AB14" s="95">
        <f t="shared" ref="AB14" si="16">V14*X14*Z14</f>
        <v>0</v>
      </c>
    </row>
    <row r="15" spans="1:28" s="26" customFormat="1" ht="40.15" customHeight="1" thickBot="1">
      <c r="A15" s="44"/>
      <c r="B15" s="38" t="s">
        <v>38</v>
      </c>
      <c r="C15" s="222"/>
      <c r="D15" s="223"/>
      <c r="E15" s="223"/>
      <c r="F15" s="223"/>
      <c r="G15" s="223"/>
      <c r="H15" s="224"/>
      <c r="I15" s="192">
        <f>SUM(J8:J14)</f>
        <v>0</v>
      </c>
      <c r="J15" s="193"/>
      <c r="K15" s="190">
        <f>SUM(L8:L14)</f>
        <v>0</v>
      </c>
      <c r="L15" s="191"/>
      <c r="M15" s="187">
        <f>SUM(N8:O14)</f>
        <v>0</v>
      </c>
      <c r="N15" s="188"/>
      <c r="O15" s="189"/>
      <c r="R15" s="86"/>
      <c r="S15" s="86" t="s">
        <v>62</v>
      </c>
      <c r="T15" s="86"/>
      <c r="U15" s="86" t="s">
        <v>61</v>
      </c>
      <c r="V15" s="87">
        <f t="shared" si="5"/>
        <v>0</v>
      </c>
      <c r="W15" s="86" t="s">
        <v>66</v>
      </c>
      <c r="X15" s="86"/>
      <c r="Y15" s="86" t="s">
        <v>66</v>
      </c>
      <c r="Z15" s="93"/>
      <c r="AA15" s="93" t="s">
        <v>61</v>
      </c>
      <c r="AB15" s="95">
        <f t="shared" si="6"/>
        <v>0</v>
      </c>
    </row>
    <row r="16" spans="1:28" s="25" customFormat="1" ht="30" customHeight="1" thickBot="1">
      <c r="A16" s="45"/>
      <c r="B16" s="36" t="s">
        <v>65</v>
      </c>
      <c r="C16" s="251"/>
      <c r="D16" s="252"/>
      <c r="E16" s="253"/>
      <c r="F16" s="71">
        <f>F9+F10+F12</f>
        <v>0</v>
      </c>
      <c r="G16" s="71" t="s">
        <v>71</v>
      </c>
      <c r="H16" s="200"/>
      <c r="I16" s="200"/>
      <c r="J16" s="200"/>
      <c r="K16" s="200"/>
      <c r="L16" s="201"/>
      <c r="M16" s="202">
        <f>F16*H16</f>
        <v>0</v>
      </c>
      <c r="N16" s="203"/>
      <c r="O16" s="204"/>
      <c r="P16" s="89"/>
      <c r="R16" s="86"/>
      <c r="S16" s="86" t="s">
        <v>62</v>
      </c>
      <c r="T16" s="86"/>
      <c r="U16" s="86" t="s">
        <v>61</v>
      </c>
      <c r="V16" s="87">
        <f t="shared" si="5"/>
        <v>0</v>
      </c>
      <c r="W16" s="86" t="s">
        <v>66</v>
      </c>
      <c r="X16" s="86"/>
      <c r="Y16" s="86" t="s">
        <v>66</v>
      </c>
      <c r="Z16" s="93"/>
      <c r="AA16" s="94" t="s">
        <v>61</v>
      </c>
      <c r="AB16" s="95">
        <f t="shared" si="6"/>
        <v>0</v>
      </c>
    </row>
    <row r="17" spans="1:28" s="26" customFormat="1" ht="30" customHeight="1">
      <c r="A17" s="44"/>
      <c r="B17" s="37" t="s">
        <v>27</v>
      </c>
      <c r="C17" s="215" t="s">
        <v>39</v>
      </c>
      <c r="D17" s="216"/>
      <c r="E17" s="216"/>
      <c r="F17" s="81">
        <v>15.9</v>
      </c>
      <c r="G17" s="81" t="s">
        <v>57</v>
      </c>
      <c r="H17" s="247"/>
      <c r="I17" s="247"/>
      <c r="J17" s="247"/>
      <c r="K17" s="247"/>
      <c r="L17" s="248"/>
      <c r="M17" s="243">
        <f>K15*F17%</f>
        <v>0</v>
      </c>
      <c r="N17" s="244"/>
      <c r="O17" s="245"/>
      <c r="R17" s="86"/>
      <c r="S17" s="86"/>
      <c r="T17" s="86"/>
      <c r="U17" s="86"/>
      <c r="V17" s="87"/>
      <c r="W17" s="86"/>
      <c r="X17" s="86"/>
      <c r="Y17" s="86"/>
      <c r="Z17" s="93"/>
      <c r="AA17" s="88"/>
      <c r="AB17" s="96">
        <f>SUM(AB9:AB16)</f>
        <v>204</v>
      </c>
    </row>
    <row r="18" spans="1:28" s="25" customFormat="1" ht="30" customHeight="1">
      <c r="A18" s="45"/>
      <c r="B18" s="36" t="s">
        <v>54</v>
      </c>
      <c r="C18" s="217" t="s">
        <v>58</v>
      </c>
      <c r="D18" s="218"/>
      <c r="E18" s="218"/>
      <c r="F18" s="71">
        <v>5</v>
      </c>
      <c r="G18" s="71" t="s">
        <v>57</v>
      </c>
      <c r="H18" s="249"/>
      <c r="I18" s="249"/>
      <c r="J18" s="249"/>
      <c r="K18" s="249"/>
      <c r="L18" s="250"/>
      <c r="M18" s="246">
        <f>M15*F18%</f>
        <v>0</v>
      </c>
      <c r="N18" s="200"/>
      <c r="O18" s="201"/>
      <c r="R18" s="85"/>
      <c r="S18" s="85"/>
      <c r="T18" s="85"/>
      <c r="U18" s="85"/>
      <c r="V18" s="85"/>
      <c r="W18" s="85"/>
      <c r="X18" s="85"/>
      <c r="Y18" s="85"/>
      <c r="Z18" s="85"/>
      <c r="AA18" s="85"/>
    </row>
    <row r="19" spans="1:28" s="26" customFormat="1" ht="30" customHeight="1">
      <c r="A19" s="44"/>
      <c r="B19" s="37" t="s">
        <v>55</v>
      </c>
      <c r="C19" s="215" t="s">
        <v>60</v>
      </c>
      <c r="D19" s="216"/>
      <c r="E19" s="216"/>
      <c r="F19" s="82">
        <v>1</v>
      </c>
      <c r="G19" s="82" t="s">
        <v>57</v>
      </c>
      <c r="H19" s="247"/>
      <c r="I19" s="247"/>
      <c r="J19" s="247"/>
      <c r="K19" s="247"/>
      <c r="L19" s="248"/>
      <c r="M19" s="238">
        <f>M15*F19%</f>
        <v>0</v>
      </c>
      <c r="N19" s="236"/>
      <c r="O19" s="237"/>
      <c r="R19" s="84"/>
      <c r="S19" s="84"/>
      <c r="T19" s="84"/>
      <c r="U19" s="84"/>
      <c r="V19" s="84"/>
      <c r="W19" s="84"/>
      <c r="X19" s="84"/>
      <c r="Y19" s="84"/>
      <c r="Z19" s="84"/>
      <c r="AA19" s="84"/>
    </row>
    <row r="20" spans="1:28" s="25" customFormat="1" ht="30" customHeight="1">
      <c r="A20" s="46"/>
      <c r="B20" s="39" t="s">
        <v>29</v>
      </c>
      <c r="C20" s="239"/>
      <c r="D20" s="240"/>
      <c r="E20" s="240"/>
      <c r="F20" s="72">
        <v>1</v>
      </c>
      <c r="G20" s="72" t="s">
        <v>35</v>
      </c>
      <c r="H20" s="234"/>
      <c r="I20" s="234"/>
      <c r="J20" s="234"/>
      <c r="K20" s="234"/>
      <c r="L20" s="235"/>
      <c r="M20" s="229"/>
      <c r="N20" s="230"/>
      <c r="O20" s="231"/>
      <c r="R20" s="85"/>
      <c r="S20" s="85"/>
      <c r="T20" s="85"/>
      <c r="U20" s="85"/>
      <c r="V20" s="85"/>
      <c r="W20" s="85"/>
      <c r="X20" s="85"/>
      <c r="Y20" s="85"/>
      <c r="Z20" s="85"/>
      <c r="AA20" s="85"/>
    </row>
    <row r="21" spans="1:28" s="26" customFormat="1" ht="30" customHeight="1">
      <c r="A21" s="47"/>
      <c r="B21" s="40" t="s">
        <v>34</v>
      </c>
      <c r="C21" s="241"/>
      <c r="D21" s="242"/>
      <c r="E21" s="242"/>
      <c r="F21" s="83">
        <v>1</v>
      </c>
      <c r="G21" s="83" t="s">
        <v>35</v>
      </c>
      <c r="H21" s="236">
        <f>SUM(M17:O19)</f>
        <v>0</v>
      </c>
      <c r="I21" s="236"/>
      <c r="J21" s="236"/>
      <c r="K21" s="236"/>
      <c r="L21" s="236"/>
      <c r="M21" s="236"/>
      <c r="N21" s="236"/>
      <c r="O21" s="237"/>
      <c r="R21" s="84"/>
      <c r="S21" s="84"/>
      <c r="T21" s="84"/>
      <c r="U21" s="84"/>
      <c r="V21" s="84"/>
      <c r="W21" s="84"/>
      <c r="X21" s="84"/>
      <c r="Y21" s="84"/>
      <c r="Z21" s="84"/>
      <c r="AA21" s="84"/>
    </row>
    <row r="22" spans="1:28" s="25" customFormat="1" ht="45" customHeight="1">
      <c r="A22" s="48"/>
      <c r="B22" s="49" t="s">
        <v>33</v>
      </c>
      <c r="C22" s="232">
        <f>IFERROR(SUM(M15+H21+M20+M16),"")</f>
        <v>0</v>
      </c>
      <c r="D22" s="233"/>
      <c r="E22" s="233"/>
      <c r="F22" s="233"/>
      <c r="G22" s="233"/>
      <c r="H22" s="233"/>
      <c r="I22" s="233"/>
      <c r="J22" s="233"/>
      <c r="K22" s="233"/>
      <c r="L22" s="233"/>
      <c r="M22" s="233"/>
      <c r="N22" s="233"/>
      <c r="O22" s="80" t="s">
        <v>40</v>
      </c>
      <c r="R22" s="186" t="e">
        <f>C22/F16</f>
        <v>#DIV/0!</v>
      </c>
      <c r="S22" s="186"/>
      <c r="T22" s="186"/>
      <c r="U22" s="85"/>
      <c r="V22" s="85"/>
      <c r="W22" s="85"/>
      <c r="X22" s="85"/>
      <c r="Y22" s="85"/>
      <c r="Z22" s="85"/>
      <c r="AA22" s="85"/>
    </row>
    <row r="23" spans="1:28" ht="20.149999999999999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P23" s="26"/>
      <c r="Q23" s="26"/>
    </row>
    <row r="24" spans="1:28" ht="20.149999999999999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pans="1:28" ht="20.149999999999999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</row>
    <row r="26" spans="1:28" ht="20.149999999999999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</row>
    <row r="27" spans="1:28" ht="1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</row>
    <row r="28" spans="1:28" ht="1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</row>
    <row r="29" spans="1:28" ht="1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</row>
    <row r="30" spans="1:28" ht="1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</row>
    <row r="31" spans="1:28" ht="1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</row>
    <row r="33" spans="9:9" ht="15" customHeight="1">
      <c r="I33" s="20">
        <v>9</v>
      </c>
    </row>
  </sheetData>
  <mergeCells count="59">
    <mergeCell ref="F2:J3"/>
    <mergeCell ref="F4:K5"/>
    <mergeCell ref="B2:E3"/>
    <mergeCell ref="B4:E5"/>
    <mergeCell ref="M6:O6"/>
    <mergeCell ref="I6:J6"/>
    <mergeCell ref="K3:O3"/>
    <mergeCell ref="K1:O2"/>
    <mergeCell ref="K6:L6"/>
    <mergeCell ref="F6:F7"/>
    <mergeCell ref="G6:G7"/>
    <mergeCell ref="C6:E7"/>
    <mergeCell ref="A6:A7"/>
    <mergeCell ref="B6:B7"/>
    <mergeCell ref="M20:O20"/>
    <mergeCell ref="C22:N22"/>
    <mergeCell ref="H20:L20"/>
    <mergeCell ref="H21:O21"/>
    <mergeCell ref="M19:O19"/>
    <mergeCell ref="C19:E19"/>
    <mergeCell ref="C20:E20"/>
    <mergeCell ref="C21:E21"/>
    <mergeCell ref="M17:O17"/>
    <mergeCell ref="M18:O18"/>
    <mergeCell ref="H17:L17"/>
    <mergeCell ref="H18:L18"/>
    <mergeCell ref="H19:L19"/>
    <mergeCell ref="C16:E16"/>
    <mergeCell ref="C17:E17"/>
    <mergeCell ref="C18:E18"/>
    <mergeCell ref="C11:E11"/>
    <mergeCell ref="C12:E12"/>
    <mergeCell ref="C13:E13"/>
    <mergeCell ref="C14:E14"/>
    <mergeCell ref="C15:H15"/>
    <mergeCell ref="C8:E8"/>
    <mergeCell ref="C9:E9"/>
    <mergeCell ref="C10:E10"/>
    <mergeCell ref="H6:H7"/>
    <mergeCell ref="Y6:Y7"/>
    <mergeCell ref="X6:X7"/>
    <mergeCell ref="T6:U7"/>
    <mergeCell ref="V6:W7"/>
    <mergeCell ref="N7:O7"/>
    <mergeCell ref="R22:T22"/>
    <mergeCell ref="M15:O15"/>
    <mergeCell ref="K15:L15"/>
    <mergeCell ref="I15:J15"/>
    <mergeCell ref="P6:P7"/>
    <mergeCell ref="N10:O10"/>
    <mergeCell ref="N11:O11"/>
    <mergeCell ref="N12:O12"/>
    <mergeCell ref="N13:O13"/>
    <mergeCell ref="N8:O8"/>
    <mergeCell ref="N9:O9"/>
    <mergeCell ref="N14:O14"/>
    <mergeCell ref="R6:S7"/>
    <mergeCell ref="H16:L16"/>
    <mergeCell ref="M16:O16"/>
  </mergeCells>
  <phoneticPr fontId="1"/>
  <printOptions horizontalCentered="1"/>
  <pageMargins left="0.25" right="0.25" top="0.75" bottom="0.75" header="0.3" footer="0.3"/>
  <pageSetup paperSize="9" scale="89" fitToWidth="0" fitToHeight="0" orientation="landscape" r:id="rId1"/>
  <rowBreaks count="1" manualBreakCount="1">
    <brk id="22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見積書</vt:lpstr>
      <vt:lpstr>工事内訳書</vt:lpstr>
      <vt:lpstr>内訳明細書</vt:lpstr>
      <vt:lpstr>見積書!Print_Area</vt:lpstr>
      <vt:lpstr>工事内訳書!Print_Area</vt:lpstr>
      <vt:lpstr>内訳明細書!Print_Area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ビジネス書式テンプレート</dc:title>
  <dc:creator>オーナー'ｓ事務局</dc:creator>
  <cp:lastModifiedBy>翔太 関口</cp:lastModifiedBy>
  <cp:lastPrinted>2026-08-20T03:29:09Z</cp:lastPrinted>
  <dcterms:created xsi:type="dcterms:W3CDTF">2010-06-22T14:45:01Z</dcterms:created>
  <dcterms:modified xsi:type="dcterms:W3CDTF">2026-09-18T05:03:41Z</dcterms:modified>
</cp:coreProperties>
</file>